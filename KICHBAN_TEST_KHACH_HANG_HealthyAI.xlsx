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HealthyAIApp\"/>
    </mc:Choice>
  </mc:AlternateContent>
  <xr:revisionPtr revIDLastSave="0" documentId="13_ncr:1_{749D14F6-FA7D-4B9D-93C7-12F9EE2D9BB1}" xr6:coauthVersionLast="47" xr6:coauthVersionMax="47" xr10:uidLastSave="{00000000-0000-0000-0000-000000000000}"/>
  <bookViews>
    <workbookView xWindow="-108" yWindow="-108" windowWidth="23256" windowHeight="12456" activeTab="1" xr2:uid="{00000000-000D-0000-FFFF-FFFF00000000}"/>
  </bookViews>
  <sheets>
    <sheet name="Hướng dẫn" sheetId="1" r:id="rId1"/>
    <sheet name="Kịch bản test" sheetId="2" r:id="rId2"/>
    <sheet name="Tổng kết" sheetId="3" r:id="rId3"/>
    <sheet name="Không phải lỗi" sheetId="4" r:id="rId4"/>
    <sheet name="Phụ lục"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3" l="1"/>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17" i="3"/>
  <c r="C17" i="3"/>
  <c r="B17" i="3"/>
  <c r="D16" i="3"/>
  <c r="C16" i="3"/>
  <c r="B16" i="3"/>
  <c r="D15" i="3"/>
  <c r="C15" i="3"/>
  <c r="B15" i="3"/>
  <c r="B11" i="3"/>
  <c r="B9" i="3"/>
  <c r="B8" i="3"/>
  <c r="B7" i="3"/>
  <c r="B6" i="3"/>
  <c r="B10" i="3" s="1"/>
</calcChain>
</file>

<file path=xl/sharedStrings.xml><?xml version="1.0" encoding="utf-8"?>
<sst xmlns="http://schemas.openxmlformats.org/spreadsheetml/2006/main" count="1213" uniqueCount="638">
  <si>
    <t>STT</t>
  </si>
  <si>
    <t>Mã</t>
  </si>
  <si>
    <t>Hành trình</t>
  </si>
  <si>
    <t>Mức độ</t>
  </si>
  <si>
    <t>Kịch bản</t>
  </si>
  <si>
    <t>Bạn đang ở</t>
  </si>
  <si>
    <t>Bạn làm</t>
  </si>
  <si>
    <t>Bạn sẽ thấy</t>
  </si>
  <si>
    <t>Đáng ngờ nếu</t>
  </si>
  <si>
    <t>Ghi chú khác</t>
  </si>
  <si>
    <t>KQ</t>
  </si>
  <si>
    <t>Ảnh chụp / Ghi chú</t>
  </si>
  <si>
    <t>Ngày test</t>
  </si>
  <si>
    <t>KB-01</t>
  </si>
  <si>
    <t>Hành trình A — "Ngày đầu tiên của Quỳnh"</t>
  </si>
  <si>
    <t>Bắt buộc</t>
  </si>
  <si>
    <t>Mở app lần đầu</t>
  </si>
  <si>
    <t>vừa cài app xong, chưa từng mở.</t>
  </si>
  <si>
    <t>bấm icon HealthyAI.</t>
  </si>
  <si>
    <t>một khoảnh khắc rất ngắn có vòng xoay + chữ "HealthyAI", sau đó là màn Đăng nhập: logo trái tim xanh, chữ "HealthyAI", dòng "Theo dõi &amp; cải thiện thói quen sức khỏe", 2 ô Email / Mật khẩu, nút Đăng nhập (đang mờ), dòng "Chưa có tài khoản? Đăng ký", và nút "Bỏ qua, dùng ở chế độ khách" kèm dòng giải thích nhỏ bên dưới.</t>
  </si>
  <si>
    <t>app đứng ở vòng xoay quá 5 giây, trắng màn hình, hoặc thoát ra ngay.</t>
  </si>
  <si>
    <t/>
  </si>
  <si>
    <t>KB-02</t>
  </si>
  <si>
    <t>Tùy chọn</t>
  </si>
  <si>
    <t>Xem mật khẩu đã gõ</t>
  </si>
  <si>
    <t>gõ mật khẩu, bấm biểu tượng con mắt trong ô Mật khẩu.</t>
  </si>
  <si>
    <t>mật khẩu hiện thành chữ thường; bấm lần nữa thì trở lại dấu chấm.</t>
  </si>
  <si>
    <t>nút không phản ứng, hoặc hiện luôn mật khẩu khi chưa bấm.</t>
  </si>
  <si>
    <t>KB-03</t>
  </si>
  <si>
    <t>Quan trọng</t>
  </si>
  <si>
    <t>Gõ sai khi đăng nhập</t>
  </si>
  <si>
    <t>(1) gõ email abc → bấm Đăng nhập. (2) gõ email abc@gmail.com + mật khẩu 123 → bấm Đăng nhập. (3) gõ email đúng + mật khẩu sai → bấm Đăng nhập.</t>
  </si>
  <si>
    <t>thẻ lỗi đỏ ngay dưới ô mật khẩu, lần lượt: "Email không hợp lệ" → "Mật khẩu phải có ít nhất 6 ký tự" → "Email hoặc mật khẩu không đúng" (hoặc "Không có kết nối mạng, vui lòng thử lại" nếu máy đang offline). Thẻ lỗi có nút X để đóng, và khi bạn gõ lại thì lỗi tự mất.</t>
  </si>
  <si>
    <t>app đóng im lặng không phản hồi, hoặc báo lỗi kỹ thuật khó hiểu kiểu "Xác thực thất bại (ERROR_...)" khi lỗi là do bạn gõ sai.</t>
  </si>
  <si>
    <t>KB-04</t>
  </si>
  <si>
    <t>Tạo tài khoản mới</t>
  </si>
  <si>
    <t>bấm "Chưa có tài khoản? Đăng ký" → gõ email + mật khẩu → bấm Đăng ký.</t>
  </si>
  <si>
    <t>nút đổi thành vòng xoay trong lúc chờ, rồi app vào thẳng Trang chủ. Lời chào có 2 dòng: "Chào buổi sáng," và dòng tên màu xanh = phần trước dấu @ của email (ví dụ email quynh.nguyen@gmail.com → hiện quynh.nguyen).</t>
  </si>
  <si>
    <t>hiện tên người khác, hiện chữ "Alex", hoặc vẫn đứng ở màn Đăng nhập dù đã tạo được tài khoản.</t>
  </si>
  <si>
    <t>Lưu ý: nếu tài khoản đã tồn tại, app phải báo "Email này đã được đăng ký, hãy đăng nhập".</t>
  </si>
  <si>
    <t>KB-05</t>
  </si>
  <si>
    <t>Vào app không cần tài khoản (như Quỳnh)</t>
  </si>
  <si>
    <t>ở màn Đăng nhập, bấm "Bỏ qua, dùng ở chế độ khách".</t>
  </si>
  <si>
    <t>vào thẳng Trang chủ, lời chào chỉ có 1 dòng ("Chào buổi sáng") và không có dòng tên màu xanh nào.</t>
  </si>
  <si>
    <t>vẫn hiện một dòng tên (nhất là "Alex"), hoặc hiện dấu phẩy treo lơ lửng ở cuối câu chào.</t>
  </si>
  <si>
    <t>KB-06</t>
  </si>
  <si>
    <t>Trang chủ khi chưa có gì</t>
  </si>
  <si>
    <t>Trang chủ, chưa tạo thói quen, chưa cấp quyền gì.</t>
  </si>
  <si>
    <t>Bạn sẽ thấy, từ trên xuống: ngày hôm nay viết bằng tiếng Việt → lời chào → icon Đăng xuất và avatar xám ở góc phải → thẻ "Tóm tắt sức khỏe" với 3 vòng tròn Bước chân 0.0k / Ngủ 0h 0m / Tim 0 bpm → thẻ xin quyền Health Connect → thẻ nhắc bật thông báo → tiêu đề "Thói quen hôm nay" → thẻ "Thêm thói quen đầu tiên". Thanh dưới cùng có 4 tab: Trang chủ · Thói quen · Ghi chép · Phân tích.</t>
  </si>
  <si>
    <t>app hiện banner/thẻ lỗi đỏ ngay khi vừa cài (thẻ xin quyền màu xanh là bình thường), hoặc có tab bấm vào là trắng màn hình.</t>
  </si>
  <si>
    <t>KB-07</t>
  </si>
  <si>
    <t>Tạo thói quen đầu tiên</t>
  </si>
  <si>
    <t>tab Thói quen → bấm nút tròn + (dưới phải) → màn hình mới mở với tiêu đề "Thêm thói quen mới" → gõ tên Uống nước → chọn ô 💧 Uống nước → nhập mục tiêu 2000 → để nguyên Cả ngày và Hàng ngày → bấm "Tạo thói quen".</t>
  </si>
  <si>
    <t>quay về danh sách, thẻ Uống nước xuất hiện với dòng "0.0L / 2.0L" và nút xanh "Ghi". Đơn vị tự đổi thành ml khi bạn chọn danh mục Uống nước (đơn vị hiển thị ngay bên phải ô mục tiêu).</t>
  </si>
  <si>
    <t>app giữ nguyên màn thêm thói quen, hoặc báo lỗi dù đã nhập đủ, hoặc thói quen không xuất hiện trong danh sách.</t>
  </si>
  <si>
    <t>KB-08</t>
  </si>
  <si>
    <t>Tạo một thói quen cho mỗi danh mục</t>
  </si>
  <si>
    <t>tạo thêm 4 thói quen theo bảng dưới đây.
Tên bạn gõ · Danh mục chọn · Mục tiêu · Buổi
Ngủ đủ giấc · 😴 Giấc ngủ · 8 · Tối
Chạy bộ buổi sáng · 🏃 Vận động · 30 · Sáng
Ăn salad · 🥗 Dinh dưỡng · 500 · Chiều
Thiền 15 phút · 🧘 Thiền định · 15 · Sáng</t>
  </si>
  <si>
    <t>đơn vị tự đổi theo danh mục — Giấc ngủ → giờ, Vận động → phút, Dinh dưỡng → calo, Thiền định → phút. Danh sách có đủ 5 thói quen, mới tạo nằm trên cùng.</t>
  </si>
  <si>
    <t>đơn vị sai (ví dụ Vận động hiện "ml"), hoặc không chọn được buổi/tần suất.</t>
  </si>
  <si>
    <t>KB-09</t>
  </si>
  <si>
    <t>Hành trình B — "Một ngày dùng app của Quỳnh"</t>
  </si>
  <si>
    <t>Ghi nhận một lần uống nước</t>
  </si>
  <si>
    <t>tab Thói quen → bấm nút "Ghi" trên thẻ Uống nước → hộp thoại "Ghi nhận Uống nước" hiện ra với ô số điền sẵn 2000 (không có đuôi .0) → xoá và gõ 1000 → bấm Lưu.</t>
  </si>
  <si>
    <t>hộp thoại đóng, một dòng chữ nhỏ nổi lên "Đã ghi nhận: Uống nước", và thẻ đổi thành "1.0L / 2.0L".</t>
  </si>
  <si>
    <t>không có thông báo nào, hoặc tiến độ không đổi, hoặc ô mặc định hiện 2000.0.</t>
  </si>
  <si>
    <t>KB-10</t>
  </si>
  <si>
    <t>Ghi đủ và đạt mục tiêu</t>
  </si>
  <si>
    <t>bấm "Ghi" thêm một lần nữa, nhập 1000, Lưu.</t>
  </si>
  <si>
    <t>nút "Ghi" biến thành ô xám chữ "Xong", phía trên là dòng xanh "Hoàn thành", và icon tròn bên trái đổi thành dấu ✓.</t>
  </si>
  <si>
    <t>vẫn cho bấm "Ghi" và tiến độ vượt quá mục tiêu mà không báo gì (ghi lại để đối chiếu, đây là điểm cần thống nhất với nhóm sản phẩm).</t>
  </si>
  <si>
    <t>KB-11</t>
  </si>
  <si>
    <t>Ghi nhận vận động theo từng lần</t>
  </si>
  <si>
    <t>ghi 10 phút cho Chạy bộ buổi sáng ba lần.</t>
  </si>
  <si>
    <t>sau lần 1 thẻ hiện 10 / 30 phút, lần 2 hiện 20 / 30 phút, lần 3 thẻ chuyển hẳn sang "Hoàn thành" + nút "Xong".</t>
  </si>
  <si>
    <t>phải ghi 1 lần 30 phút mới đạt (tức là app không cộng dồn), hoặc lần ghi sau ghi đè lần trước.</t>
  </si>
  <si>
    <t>KB-12</t>
  </si>
  <si>
    <t>Lọc thói quen theo buổi</t>
  </si>
  <si>
    <t>ở tab Thói quen, bấm lần lượt các chip Tất cả · Sáng · Chiều · Tối.</t>
  </si>
  <si>
    <t>"Sáng" chỉ hiện thói quen đặt Buổi sáng và Cả ngày (ví dụ Uống nước luôn hiện vì để Cả ngày); "Chiều"/"Tối" tương tự; "Tất cả" hiện đủ 5.</t>
  </si>
  <si>
    <t>chip không đổi trạng thái khi bấm, hoặc lọc ra danh sách trống dù có thói quen đúng buổi.</t>
  </si>
  <si>
    <t>KB-13</t>
  </si>
  <si>
    <t>Sửa mục tiêu của một thói quen</t>
  </si>
  <si>
    <t>bấm vào thẻ Chạy bộ buổi sáng → màn "Sửa thói quen" → ô mục tiêu điền sẵn 30 → đổi thành 45 → bấm "Cập nhật".</t>
  </si>
  <si>
    <t>quay về danh sách, thẻ hiện 30 / 45 phút (không còn "Hoàn thành" vì mục tiêu cao hơn).</t>
  </si>
  <si>
    <t>ô mục tiêu hiện 30.0, hoặc đổi mục tiêu xong mà danh sách vẫn số cũ.</t>
  </si>
  <si>
    <t>KB-14</t>
  </si>
  <si>
    <t>Huỷ giữa đường</t>
  </si>
  <si>
    <t>bấm "Ghi" trên một thói quen, gõ số khác, rồi bấm Hủy.</t>
  </si>
  <si>
    <t>hộp thoại đóng, tiến độ không đổi, không có thông báo "Đã ghi nhận".</t>
  </si>
  <si>
    <t>vẫn ghi nhận dù bạn đã bấm Hủy.</t>
  </si>
  <si>
    <t>KB-15</t>
  </si>
  <si>
    <t>Xoá một thói quen</t>
  </si>
  <si>
    <t>bấm vào thẻ Ăn salad → bấm icon thùng rác đỏ ở góc phải trên → đọc hộp thoại "Xóa thói quen?" → bấm Xóa.</t>
  </si>
  <si>
    <t>hộp thoại nói rõ "Thói quen sẽ bị ẩn khỏi danh sách và không còn được tính vào tiến độ hôm nay. Nhật ký đã ghi vẫn được giữ lại trong máy." → sau khi xoá: dòng chữ "Đã xóa thói quen", quay về danh sách và thẻ đó biến mất khỏi tab Thói quen, khỏi Trang chủ và khỏi widget.</t>
  </si>
  <si>
    <t>thói quen vẫn còn, hoặc app báo lỗi, hoặc xoá luôn cả nhật ký cũ (kiểm tra bằng tab Phân tích ở KB-53).</t>
  </si>
  <si>
    <t>KB-16</t>
  </si>
  <si>
    <t>Đổi ý, không xoá nữa</t>
  </si>
  <si>
    <t>vào một thói quen → bấm thùng rác → bấm Hủy.</t>
  </si>
  <si>
    <t>hộp thoại đóng, thói quen còn nguyên, không có thông báo "Đã xóa".</t>
  </si>
  <si>
    <t>KB-17</t>
  </si>
  <si>
    <t>Dùng lại tên của thói quen đã xoá</t>
  </si>
  <si>
    <t>tạo thói quen mới tên Ăn salad (tên vừa xoá ở KB-15) → bấm Tạo.</t>
  </si>
  <si>
    <t>tạo được bình thường, không báo trùng tên.</t>
  </si>
  <si>
    <t>báo "Tên thói quen đã tồn tại" cho một thói quen bạn đã xoá.</t>
  </si>
  <si>
    <t>KB-18</t>
  </si>
  <si>
    <t>Chống trùng tên thói quen</t>
  </si>
  <si>
    <t>tạo thói quen mới tên uống NƯỚC (khác hoa/thường, có khoảng trắng thừa) rồi bấm Tạo.</t>
  </si>
  <si>
    <t>hộp thoại "Lỗi" với nội dung "Tên thói quen đã tồn tại", thói quen không được tạo.</t>
  </si>
  <si>
    <t>tạo được và bạn có 2 thói quen cùng tên (rất dễ ghi nhầm nhật ký về sau).</t>
  </si>
  <si>
    <t>KB-19</t>
  </si>
  <si>
    <t>Hành trình C — "Quỳnh lỡ tay: gõ sai và thao tác lộn xộn"</t>
  </si>
  <si>
    <t>Tạo thói quen khi bỏ trống tên</t>
  </si>
  <si>
    <t>màn Thêm thói quen → không gõ tên → nhập mục tiêu 100 → bấm Tạo thói quen.</t>
  </si>
  <si>
    <t>hộp thoại "Lỗi": "Tên thói quen không được để trống", vẫn ở màn thêm thói quen.</t>
  </si>
  <si>
    <t>KB-20</t>
  </si>
  <si>
    <t>Mục tiêu không hợp lệ</t>
  </si>
  <si>
    <t>nhập tên Test mục tiêu, rồi lần lượt thử: để trống mục tiêu → bấm Tạo; nhập 0 → bấm Tạo; (nếu gõ được) nhập -5 → bấm Tạo.</t>
  </si>
  <si>
    <t>mỗi lần đều báo "Mục tiêu phải là số dương" và không tạo thói quen.</t>
  </si>
  <si>
    <t>app tạo ra thói quen mục tiêu 0 rồi hiển thị "Hoàn thành" ngay (dấu hiệu tính sai).</t>
  </si>
  <si>
    <t>KB-21</t>
  </si>
  <si>
    <t>Ghi nhận khi bỏ trống số lượng</t>
  </si>
  <si>
    <t>bấm "Ghi" trên một thói quen → xoá trắng ô số lượng → bấm Lưu.</t>
  </si>
  <si>
    <t>hộp thoại vẫn mở, dòng lỗi đỏ dưới ô nhập: "Vui lòng nhập số lượng"; tiến độ không đổi.</t>
  </si>
  <si>
    <t>hộp thoại đóng im lặng mà không ghi gì và cũng không báo gì (bạn sẽ tưởng đã ghi thành công).</t>
  </si>
  <si>
    <t>KB-22</t>
  </si>
  <si>
    <t>Ghi nhận bằng chữ</t>
  </si>
  <si>
    <t>dán/gõ abc vào ô số lượng → Lưu.</t>
  </si>
  <si>
    <t>lỗi "Số lượng phải là số", hộp thoại vẫn mở.</t>
  </si>
  <si>
    <t>KB-23</t>
  </si>
  <si>
    <t>Ghi nhận số 0 hoặc số âm</t>
  </si>
  <si>
    <t>lần lượt nhập 0 → Lưu; rồi nhập -5 → Lưu.</t>
  </si>
  <si>
    <t>lỗi "Số lượng phải lớn hơn 0", hộp thoại vẫn mở, tiến độ hôm nay không giảm.</t>
  </si>
  <si>
    <t>nhập số âm làm tiến độ tụt xuống (lỗi nghiêm trọng về dữ liệu).</t>
  </si>
  <si>
    <t>KB-24</t>
  </si>
  <si>
    <t>Bấm Lưu liên tục như người sốt ruột</t>
  </si>
  <si>
    <t>mở hộp thoại ghi nhận → bấm Lưu thật nhanh nhiều lần; rồi vào màn Sửa thói quen → sửa mục tiêu → bấm "Cập nhật" thật nhanh nhiều lần; cuối cùng ở màn Thêm thói quen mới → bấm "Tạo thói quen" thật nhanh nhiều lần.</t>
  </si>
  <si>
    <t>hộp thoại ghi nhận đóng ngay sau lần bấm đầu nên không thể ghi trùng; ở hai màn còn lại nút mờ đi và hiện vòng xoay trong lúc lưu, và kết quả chỉ có một thói quen/cập nhật.</t>
  </si>
  <si>
    <t>tiến độ tăng gấp nhiều lần (ví dụ ghi 1000ml mà thành 5000ml), hoặc danh sách xuất hiện 2 thói quen trùng tên.</t>
  </si>
  <si>
    <t>KB-25</t>
  </si>
  <si>
    <t>Xoay màn hình khi đang nhập</t>
  </si>
  <si>
    <t>(1) Ở màn Sửa thói quen, gõ tên mới nhưng chưa lưu → xoay ngang màn hình. (2) Mở hộp thoại ghi nhận rồi xoay màn hình.</t>
  </si>
  <si>
    <t>Bạn sẽ thấy (1): nội dung bạn vừa gõ vẫn còn. (2): hộp thoại ghi nhận có thể đóng lại và bạn phải bấm "Ghi" lần nữa — ghi lại nếu điều này làm bạn khó chịu (đây là hiện trạng đã biết, không phải lỗi crash).</t>
  </si>
  <si>
    <t>app crash, hoặc mất luôn tên/mục tiêu đã gõ ở màn Sửa.</t>
  </si>
  <si>
    <t>KB-26</t>
  </si>
  <si>
    <t>Nút Back của điện thoại</t>
  </si>
  <si>
    <t>ở từng tab bấm Back; ở màn Thêm/Sửa thói quen bấm Back; ở Trang chủ bấm Back.</t>
  </si>
  <si>
    <t>ở màn Thêm/Sửa → quay về tab Thói quen (và thanh 4 tab dưới cùng ẩn ở màn này); ở một trong 4 tab → về Trang chủ; ở Trang chủ → thoát app.</t>
  </si>
  <si>
    <t>bấm Back làm app thoát ngay từ tab Phân tích, hoặc quay về màn Đăng nhập dù bạn chưa đăng xuất.</t>
  </si>
  <si>
    <t>KB-27</t>
  </si>
  <si>
    <t>Dùng app khi mất mạng hoàn toàn</t>
  </si>
  <si>
    <t>bật chế độ máy bay → tạo thói quen, ghi nhận, mở Camera, mở Phân tích → sau đó thử đăng nhập/đăng ký.</t>
  </si>
  <si>
    <t>thói quen/ghi nhận/Phân tích vẫn hoạt động bình thường; chỉ phần đăng nhập báo "Không có kết nối mạng, vui lòng thử lại".</t>
  </si>
  <si>
    <t>thao tác thói quen bị treo hoặc chậm bất thường khi không có mạng.</t>
  </si>
  <si>
    <t>KB-28</t>
  </si>
  <si>
    <t>Hành trình D — "Quỳnh muốn số liệu sức khỏe tự hiện"</t>
  </si>
  <si>
    <t>Máy chưa cài Health Connect</t>
  </si>
  <si>
    <t>Trang chủ, máy không có app Health Connect.</t>
  </si>
  <si>
    <t>bấm "Cài Health Connect" → app mở Google Play.</t>
  </si>
  <si>
    <t>thẻ "Chưa cài Health Connect" với nút "Cài Health Connect"; 3 chỉ số hiển thị 0; không có banner lỗi đỏ.</t>
  </si>
  <si>
    <t>app crash, hoặc hiện banner đỏ báo lỗi kỹ thuật.</t>
  </si>
  <si>
    <t>KB-29</t>
  </si>
  <si>
    <t>Health Connect cần cập nhật</t>
  </si>
  <si>
    <t>Bạn sẽ thấy (nếu máy ở tình huống này): thẻ "Health Connect cần được cập nhật" + nút "Cập nhật Health Connect".</t>
  </si>
  <si>
    <t>KB-30</t>
  </si>
  <si>
    <t>Cấp quyền Health Connect</t>
  </si>
  <si>
    <t>ở Trang chủ, thẻ "Cấp quyền Health Connect" → bấm nút → hộp thoại của Health Connect hiện ra → bật cả 4 quyền (Bước chân, Giấc ngủ, Nhịp tim, Calories) → quay lại app.</t>
  </si>
  <si>
    <t>thẻ biến mất và số liệu được nạp lại ngay — bạn không cần mở lại app.</t>
  </si>
  <si>
    <t>thẻ vẫn còn sau khi đã bật đủ 4 quyền (thử rời Trang chủ rồi quay lại; nếu vẫn còn thì ghi lại).</t>
  </si>
  <si>
    <t>KB-31</t>
  </si>
  <si>
    <t>Cố tình cấp thiếu quyền</t>
  </si>
  <si>
    <t>trong hộp thoại Health Connect, chỉ bật Bước chân và Giấc ngủ, tắt Nhịp tim và Calories → quay lại.</t>
  </si>
  <si>
    <t>thẻ xin quyền vẫn còn để nhắc bạn; app không crash; không có banner lỗi đỏ.</t>
  </si>
  <si>
    <t>app crash hoặc màn Trang chủ trắng.</t>
  </si>
  <si>
    <t>KB-32</t>
  </si>
  <si>
    <t>Bơm dữ liệu giả và xem chỉ số</t>
  </si>
  <si>
    <t>làm theo phụ lục B để bơm steps = 3 500, giấc ngủ = 7 giờ 30 phút, nhịp tim = 72 → sau đó tắt hẳn app rồi mở lại (Cài đặt máy → Ứng dụng → HealthyAI → Buộc dừng, rồi mở app lại).</t>
  </si>
  <si>
    <t>thẻ "Tóm tắt sức khỏe" hiện Bước chân 3.5k, Ngủ 7h 30m, Tim 72 bpm.</t>
  </si>
  <si>
    <t>số vẫn là 0 sau khi đã bơm dữ liệu, đã cấp đủ quyền và đã mở lại app (ghi lại giờ bơm dữ liệu + ảnh chụp).</t>
  </si>
  <si>
    <t>Điểm cần biết trước: màn Trang chủ chỉ đọc lại số liệu khi app được mở lại hoặc khi trạng thái quyền Health Connect vừa thay đổi. Chuyển sang tab khác rồi quay lại Trang chủ không làm số liệu tự đọc lại — nên bạn sẽ thấy số đứng im nếu bơm dữ liệu trong lúc app đang mở (xem mục 5 và mục 6 #11).</t>
  </si>
  <si>
    <t>KB-33</t>
  </si>
  <si>
    <t>Từ chối quyền Health Connect</t>
  </si>
  <si>
    <t>ở hộp thoại Health Connect, bấm Từ chối (thử 2 lần).</t>
  </si>
  <si>
    <t>thẻ xin quyền vẫn hiện, app dùng bình thường với số liệu 0.</t>
  </si>
  <si>
    <t>bấm Từ chối mà hộp thoại cứ hiện lại liên tục không cho dùng app.</t>
  </si>
  <si>
    <t>KB-34</t>
  </si>
  <si>
    <t>Số liệu có nhớ sau khi tắt app</t>
  </si>
  <si>
    <t>sau KB-32, tắt hẳn app rồi mở lại.</t>
  </si>
  <si>
    <t>các chỉ số sức khỏe vẫn hiện (không quay về 0).</t>
  </si>
  <si>
    <t>KB-35</t>
  </si>
  <si>
    <t>Gợi ý dựa trên dữ liệu Health Connect</t>
  </si>
  <si>
    <t>nếu chưa đủ dữ liệu, tab Phân tích chỉ hiển thị gợi ý từ nhật ký thói quen của bạn (xem hành trình G) — đây là hiện trạng bình thường, không phải lỗi.</t>
  </si>
  <si>
    <t>Điều cần biết trước: loại gợi ý này cần dữ liệu nhiều ngày liên tiếp (app tự đồng bộ 6 giờ/lần), nên rất khó thấy trong một buổi test.</t>
  </si>
  <si>
    <t>KB-36</t>
  </si>
  <si>
    <t>Hành trình E — "Quỳnh không muốn bị làm phiền"</t>
  </si>
  <si>
    <t>Bật nhắc nhở hàng ngày</t>
  </si>
  <si>
    <t>ở Trang chủ, thẻ "Bật nhắc nhở hàng ngày" → bấm "Bật thông báo" → hộp thoại hệ thống → Cho phép.</t>
  </si>
  <si>
    <t>thẻ biến mất ngay.</t>
  </si>
  <si>
    <t>thẻ vẫn còn sau khi đã bấm Cho phép (thử rời rồi quay lại Trang chủ).</t>
  </si>
  <si>
    <t>KB-37</t>
  </si>
  <si>
    <t>Từ chối quyền thông báo</t>
  </si>
  <si>
    <t>thẻ "Bật nhắc nhở hàng ngày" → "Bật thông báo" → Từ chối.</t>
  </si>
  <si>
    <t>thẻ vẫn còn để nhắc lại; app không crash; mọi tính năng khác bình thường.</t>
  </si>
  <si>
    <t>KB-38</t>
  </si>
  <si>
    <t>Tắt thông báo ở cài đặt máy</t>
  </si>
  <si>
    <t>vào Cài đặt máy → Ứng dụng → HealthyAI → Thông báo → tắt → quay lại app.</t>
  </si>
  <si>
    <t>thẻ đổi thành "Thông báo đang bị tắt" với nút "Mở cài đặt thông báo"; bấm nút này phải mở đúng màn cài đặt thông báo của HealthyAI.</t>
  </si>
  <si>
    <t>vẫn hiện nút "Bật thông báo" như lúc chưa cấp quyền, hoặc nút mở sai màn hình.</t>
  </si>
  <si>
    <t>KB-39</t>
  </si>
  <si>
    <t>Bật lại thông báo</t>
  </si>
  <si>
    <t>ở màn cài đặt vừa mở, bật thông báo lại → quay về app.</t>
  </si>
  <si>
    <t>thẻ nhắc biến mất.</t>
  </si>
  <si>
    <t>KB-40</t>
  </si>
  <si>
    <t>Kiểm tra thông báo nhắc nhở có thật</t>
  </si>
  <si>
    <t>làm theo phụ lục C để chạy job daily_reminder_worker (hoặc chờ đủ 24 giờ sau lần đầu mở app).</t>
  </si>
  <si>
    <t>một thông báo: tiêu đề "HealthyAI 💪 Nhắc nhở thói quen", nội dung "Bạn đã cập nhật thói quen hôm nay chưa? Chỉ cần vài giây thôi!", thuộc kênh "Nhắc nhở thói quen sức khỏe". Bấm vào thông báo thì thông báo tự biến mất.</t>
  </si>
  <si>
    <t>job chạy mà không có thông báo và bạn đã cấp quyền thông báo (ghi lại kèm ảnh chụp màn hình Cài đặt thông báo).</t>
  </si>
  <si>
    <t>KB-41</t>
  </si>
  <si>
    <t>Thông báo có bị chặn khi chưa cấp quyền?</t>
  </si>
  <si>
    <t>đảm bảo đã tắt quyền thông báo → chạy job như KB-40.</t>
  </si>
  <si>
    <t>không có thông báo nào và app không crash.</t>
  </si>
  <si>
    <t>KB-42</t>
  </si>
  <si>
    <t>Hành trình F — "Quỳnh muốn chụp ảnh bữa ăn"</t>
  </si>
  <si>
    <t>Lần đầu mở tab Ghi chép</t>
  </si>
  <si>
    <t>tab Ghi chép → thẻ "Cần quyền Camera" → bấm "Cấp quyền Camera" → Cho phép.</t>
  </si>
  <si>
    <t>màn hình có tiêu đề "Ghi chép bữa ăn", dòng phụ "Hướng camera vào món ăn để phân tích.", khung camera xem trước với khung vuông trắng ở giữa và nhãn "Quét món ăn", cùng nút xanh "Phân tích món ăn".</t>
  </si>
  <si>
    <t>màn hình đen, hoặc nút "Phân tích món ăn" mờ vĩnh viễn.</t>
  </si>
  <si>
    <t>KB-43</t>
  </si>
  <si>
    <t>Từ chối quyền Camera</t>
  </si>
  <si>
    <t>ở thẻ xin quyền Camera, bấm Từ chối.</t>
  </si>
  <si>
    <t>thẻ xin quyền vẫn còn, app không crash, các tab khác dùng bình thường.</t>
  </si>
  <si>
    <t>app crash hoặc trắng màn hình khi không có quyền camera.</t>
  </si>
  <si>
    <t>KB-44</t>
  </si>
  <si>
    <t>Chụp và phân tích một món ăn</t>
  </si>
  <si>
    <t>hướng camera vào đồ ăn (trên emulator dùng "camera ảo"/webcam) → bấm "Phân tích món ăn".</t>
  </si>
  <si>
    <t>nút đổi thành "Đang phân tích..." trong giây lát → xuất hiện thẻ "Kết quả nhận diện" với badge "Tự động" và các chip tên món + phần trăm độ tin cậy (app chỉ hiện kết quả có độ tin cậy trên 65%).</t>
  </si>
  <si>
    <t>quay mãi ở "Đang phân tích...", hoặc hiện chữ đỏ báo lỗi phân tích.</t>
  </si>
  <si>
    <t>Lưu ý cho người test: emulator thường dùng ảnh webcam/văn phòng nên kết quả có thể vô nghĩa (ví dụ "Garden", "Table") — không phải lỗi, app chỉ nhận diện được ảnh thật của đồ ăn.</t>
  </si>
  <si>
    <t>KB-45</t>
  </si>
  <si>
    <t>Đưa kết quả vào nhật ký</t>
  </si>
  <si>
    <t>ở thẻ kết quả, bấm "Thêm vào nhật ký" — thử hai tình huống:
1. Khi bạn chưa có thói quen nào thuộc danh mục Dinh dưỡng.
2. Sau khi bạn đã tạo một thói quen Dinh dưỡng (ví dụ Ăn salad).</t>
  </si>
  <si>
    <t>1. Dòng chữ nổi: "Chưa có thói quen phù hợp — bấm nút + để tạo mới."
2. App tự nhảy sang tab Thói quen và mở sẵn hộp thoại ghi nhận của thói quen Dinh dưỡng đó → bấm Lưu → "Đã ghi nhận: Ăn salad" và tiến độ tăng.</t>
  </si>
  <si>
    <t>nhảy sang tab Thói quen mà không mở hộp thoại nào, hoặc ghi nhận sai thói quen (ví dụ ghi vào Uống nước).</t>
  </si>
  <si>
    <t>Điểm cần ghi lại (trải nghiệm): kết quả nhận diện không được điền sẵn vào ô số lượng — bạn vẫn phải tự nhập calo. Đây là điều một khách hàng sẽ thấy hụt hẫng.</t>
  </si>
  <si>
    <t>KB-46</t>
  </si>
  <si>
    <t>Camera dùng bình thường, không bị "treo"</t>
  </si>
  <si>
    <t>rời khỏi tab Ghi chép sang tab khác rồi quay lại vài lần; tắt app rồi mở lại vào tab Ghi chép.</t>
  </si>
  <si>
    <t>khung camera luôn mở lại được, không bị "camera đang bận" (không có thông báo "Không mở được camera" lặp lại).</t>
  </si>
  <si>
    <t>KB-47</t>
  </si>
  <si>
    <t>Hành trình G — "Quỳnh kiểm tra xem app có thông minh không"</t>
  </si>
  <si>
    <t>Tab Phân tích khi còn ít dữ liệu</t>
  </si>
  <si>
    <t>vào tab Phân tích khi mới cài app và chưa ghi nhận gì.</t>
  </si>
  <si>
    <t>tiêu đề "Phân tích AI" + "Xu hướng sức khỏe của bạn, được phân tích để phát triển.", rồi: thẻ "Mọi thứ đang rất tốt!", thẻ "Chỉ số sinh lực" hiện 50/100 (và không có dòng so sánh tuần trước), thẻ "Sự nhất quán hàng tuần" báo "Chưa có thói quen nào để theo dõi. Hãy tạo thói quen đầu tiên ở tab Thói quen.", thẻ "Xu hướng chất lượng giấc ngủ" báo chưa có dữ liệu chi tiết pha giấc ngủ.</t>
  </si>
  <si>
    <t>app crash, hoặc hiện gợi ý "dọa" (ví dụ cảnh báo thiếu nước) khi bạn chưa ghi gì.</t>
  </si>
  <si>
    <t>KB-48</t>
  </si>
  <si>
    <t>Gợi ý "uống nước nguy hiểm thấp" (mức khẩn cấp)</t>
  </si>
  <si>
    <t>với thói quen Uống nước 2000ml, ghi ba lần 300 → mở tab Phân tích.
Bạn làm tiếp: bấm nút đó.</t>
  </si>
  <si>
    <t>thẻ có nhãn "CẢNH BÁO KHẨN CẤP" (chữ đỏ, thẻ có viền đỏ): "🚨 Mức nước nguy hiểm thấp" với nội dung "Bạn uống trung bình 300ml/ngày — chỉ bằng 50% nhu cầu tối thiểu! Ngay lúc này hãy uống 1 ly nước đầy." và nút "Ghi nhận uống nước".
app sang tab Thói quen với hộp thoại ghi nhận Uống nước mở sẵn (ô số điền 2000).</t>
  </si>
  <si>
    <t>bấm nút mà không có gì xảy ra, hoặc mở hộp thoại sai thói quen.</t>
  </si>
  <si>
    <t>KB-49</t>
  </si>
  <si>
    <t>Gợi ý "uống thêm nước" (mức trung bình)</t>
  </si>
  <si>
    <t>với máy vừa được làm sạch, ghi một lần 1200 cho Uống nước 2000ml → mở Phân tích.</t>
  </si>
  <si>
    <t>thẻ "💧 Uống thêm nước mỗi ngày" với "Lượng nước trung bình của bạn là 1200ml/ngày. Mục tiêu khuyến nghị: 2000ml..." và không có nút hành động.</t>
  </si>
  <si>
    <t>trộn lẫn số liệu (ví dụ nói "1200ml" khi bạn đã ghi 2 lần 600).</t>
  </si>
  <si>
    <t>KB-50</t>
  </si>
  <si>
    <t>Gợi ý thiếu ngủ và nút hành động</t>
  </si>
  <si>
    <t>với thói quen Ngủ đủ giấc 8 giờ, ghi ba lần 5 → mở Phân tích.</t>
  </si>
  <si>
    <t>thẻ "⚠️ Cảnh báo thiếu ngủ nghiêm trọng" với "Bạn đã ngủ trung bình 5.0 tiếng/đêm trong 3 ngày qua..." và nút "Đặt nhắc nhở đi ngủ"; bấm nút → sang tab Thói quen với hộp thoại ghi nhận của thói quen Giấc ngủ.</t>
  </si>
  <si>
    <t>bấm nút mà mở hộp thoại của thói quen khác (ví dụ Uống nước).</t>
  </si>
  <si>
    <t>KB-51</t>
  </si>
  <si>
    <t>Gợi ý vận động phải nói đúng đơn vị</t>
  </si>
  <si>
    <t>với thói quen Chạy bộ buổi sáng 30 phút, ghi ba lần 10 → mở Phân tích.</t>
  </si>
  <si>
    <t>thẻ "🏃 Tăng hoạt động thể chất ngay hôm nay" nói về phút: "Mức vận động trung bình của bạn là 10 phút trong 3 lần ghi gần nhất — mới đạt 33% mục tiêu 30 phút..." và nút "Ghi nhận vận động".</t>
  </si>
  <si>
    <t>câu chữ nói "bước" trong khi bạn ghi bằng phút (đây từng là lỗi đã sửa — nếu gặp lại, báo ngay).</t>
  </si>
  <si>
    <t>Ghi chú cho người test: app hiện tự gán đơn vị theo danh mục (Vận động → phút), nên bạn khó tạo được thói quen đo bằng bước chân; những gợi ý "5 000 / 8 000 bước" chỉ xuất hiện với dữ liệu đơn vị bước — coi là giới hạn đã biết, không cần cố tạo.</t>
  </si>
  <si>
    <t>KB-52</t>
  </si>
  <si>
    <t>Gợi ý phải "hạ nhiệt" khi bạn tiến bộ</t>
  </si>
  <si>
    <t>tiếp tục sau KB-51, ghi thêm hai lần 25 cho Chạy bộ buổi sáng → mở lại Phân tích.</t>
  </si>
  <si>
    <t>thẻ đổi từ "🏃 Tăng hoạt động thể chất ngay hôm nay" (mức cao) thành "🚶 Tăng dần mục tiêu vận động" (mức thấp hơn), nội dung nói bạn đạt hơn 50% mục tiêu.</t>
  </si>
  <si>
    <t>vẫn giữ nguyên cảnh báo cũ (nghĩa là gợi ý không cập nhật theo dữ liệu mới).</t>
  </si>
  <si>
    <t>KB-53</t>
  </si>
  <si>
    <t>Khi mọi thứ đều ổn thì gợi ý biến mất</t>
  </si>
  <si>
    <t>lần lượt ghi đủ mục tiêu cho mọi thói quen — ví dụ: nước 2000 ba lần; chạy bộ 25 năm lần; ngủ 8 sáu lần — rồi mở Phân tích.</t>
  </si>
  <si>
    <t>các thẻ cảnh báo lần lượt biến mất; khi không còn gợi ý nào, app hiện thẻ "Mọi thứ đang rất tốt!" với "Bạn đang duy trì thói quen rất đều đặn. Hãy tiếp tục phát huy nhé!".</t>
  </si>
  <si>
    <t>cảnh báo cũ vẫn còn dù đã ghi vượt mục tiêu (bạn có thể phải rời tab rồi quay lại — nếu vẫn còn thì ghi lại).</t>
  </si>
  <si>
    <t>KB-54</t>
  </si>
  <si>
    <t>Chỉ số sinh lực phản ánh mức hoàn thành</t>
  </si>
  <si>
    <t>trên máy vừa được làm sạch, tạo 3 thói quen Ngủ đủ giấc 8 giờ, Uống nước 2000ml, Chạy bộ buổi sáng 30 phút — ghi đủ 100% mục tiêu cả ba trong ngày hôm nay (không ghi các mức thấp hơn cho 3 thói quen này) → mở Phân tích.</t>
  </si>
  <si>
    <t>vòng tròn "Chỉ số sinh lực" hiện 100/100 (nếu máy vừa làm sạch, chưa có dữ liệu tuần trước thì không hiện dòng so sánh). Khi bạn ghi thêm hoặc xoá bớt, điểm phải thay đổi ngay, không cần mở lại app.</t>
  </si>
  <si>
    <t>điểm đứng yên, hoặc hiện số ngoài khoảng 0–100.</t>
  </si>
  <si>
    <t>KB-55</t>
  </si>
  <si>
    <t>Biểu đồ "Sự nhất quán hàng tuần"</t>
  </si>
  <si>
    <t>nhìn thẻ "Sự nhất quán hàng tuần" sau khi đã ghi được 2/3 thói quen đạt mục tiêu hôm nay.</t>
  </si>
  <si>
    <t>7 cột (T2…CN), cột hôm nay được in đậm màu xanh và hiện 67%; chú thích "Tỉ lệ thói quen đạt mục tiêu theo từng ngày (7 ngày gần nhất)".</t>
  </si>
  <si>
    <t>cột hôm nay luôn 0% dù bạn vừa đạt mục tiêu, hoặc biểu đồ có 8 cột.</t>
  </si>
  <si>
    <t>KB-56</t>
  </si>
  <si>
    <t>Xu hướng chất lượng giấc ngủ</t>
  </si>
  <si>
    <t>xem thẻ cuối màn Phân tích, trong hai trường hợp: (1) chưa cấp quyền Giấc ngủ cho Health Connect; (2) đã cấp và đã bơm dữ liệu ngủ có chia pha.</t>
  </si>
  <si>
    <t>(1) câu hướng dẫn "Chưa có dữ liệu chi tiết pha giấc ngủ..."; (2) ba thanh Sâu / Nông / REM kèm số giờ–phút và dòng "Tổng … trong 7 đêm gần nhất".</t>
  </si>
  <si>
    <t>hiện ba thanh toàn số 0 hoặc tổng lớn hơn 24 giờ.</t>
  </si>
  <si>
    <t>KB-57</t>
  </si>
  <si>
    <t>Hành trình H — "Quỳnh muốn thấy sức khỏe hôm nay ngay trên màn hình chính"</t>
  </si>
  <si>
    <t>Thêm widget "Sức khỏe hôm nay" ra màn hình chính</t>
  </si>
  <si>
    <t>chạm giữ vùng trống trên màn hình chính → Widget → tìm HealthyAI → "Sức khỏe hôm nay" → kéo ra.</t>
  </si>
  <si>
    <t>widget có dòng "Healthy AI" và "Hôm nay", rồi 3 cột: Bước chân (ví dụ 6.250), Giấc ngủ (7h 30m), Nhịp tim (72 bpm) — mỗi cột có một biểu tượng nhỏ phía trên và một đường kẻ mảnh dưới dòng tiêu đề.</t>
  </si>
  <si>
    <t>widget trắng trơn, hoặc hiện chữ "Loading" mãi không đổi.</t>
  </si>
  <si>
    <t>KB-58</t>
  </si>
  <si>
    <t>Ba số trên widget khớp với app</t>
  </si>
  <si>
    <t>so từng số trên widget với thẻ "Tóm tắt sức khỏe" ở màn Trang chủ trong app.</t>
  </si>
  <si>
    <t>số giống nhau. Riêng bước chân cả hai nơi đều lấy từ cảm biến của chính điện thoại nên có thể nhỏ hơn số của đồng hồ đeo tay trong Health Connect — đây là chủ ý, không phải lỗi.</t>
  </si>
  <si>
    <t>widget hiện số khác hẳn app, hoặc hiện 0 cho giấc ngủ / nhịp tim trong khi app đang hiện số thật.</t>
  </si>
  <si>
    <t>Ghi chú: hôm nay chưa có số nào thì widget hiện -- (giấc ngủ) và -- bpm (nhịp tim) — cố ý, để không bị hiểu thành "ngủ 0 giờ" / "nhịp tim bằng 0".</t>
  </si>
  <si>
    <t>KB-59</t>
  </si>
  <si>
    <t>Widget tự cập nhật</t>
  </si>
  <si>
    <t>ghi lại số nhịp tim đang hiện trên widget → vào ô "Tim" ở màn Trang chủ → "Đo ngay" và đo một lần → thoát ra màn hình chính, xem widget (không gỡ/thêm lại widget).</t>
  </si>
  <si>
    <t>ô "Nhịp tim" trên widget đổi sang số vừa đo ngay — bạn không phải gỡ widget rồi thêm lại.</t>
  </si>
  <si>
    <t>widget vẫn hiện số cũ (chờ 1 phút; nếu vẫn cũ thì ghi lại — đây là lỗi từng gặp).</t>
  </si>
  <si>
    <t>Ghi chú: thay đổi thói quen (tạo / sửa / xoá / ghi nhận) không làm nội dung widget đổi — đúng thiết kế, vì widget chỉ hiện chỉ số sức khỏe.</t>
  </si>
  <si>
    <t>KB-60</t>
  </si>
  <si>
    <t>Widget khi chưa có số liệu nào</t>
  </si>
  <si>
    <t>xoá dữ liệu app (hoặc dùng máy mới chưa cấp quyền gì) → xem widget.</t>
  </si>
  <si>
    <t>widget vẫn đủ khung: "Healthy AI / Hôm nay", bước chân 0, giấc ngủ --, nhịp tim -- bpm; chạm vào widget thì app mở ra.</t>
  </si>
  <si>
    <t>chạm vào widget không mở app, hoặc widget trắng trơn.</t>
  </si>
  <si>
    <t>KB-61</t>
  </si>
  <si>
    <t>Kéo giãn widget</t>
  </si>
  <si>
    <t>kéo cho widget rộng/cao hơn, rồi thu nhỏ lại.</t>
  </si>
  <si>
    <t>kéo rộng ra thì ba cột nở ra theo và số hiện thoải mái hơn; thu nhỏ lại được tới một mức tối thiểu rồi dừng — không vỡ chữ, không chồng lên nhau.</t>
  </si>
  <si>
    <t>KB-62</t>
  </si>
  <si>
    <t>Hành trình I — "Quỳnh kiểm tra tài khoản và dữ liệu"</t>
  </si>
  <si>
    <t>Đăng xuất</t>
  </si>
  <si>
    <t>ở Trang chủ, bấm icon Đăng xuất (góc phải, phía trên avatar) → hộp thoại "Đăng xuất" với nội dung "Bạn có chắc muốn đăng xuất? Thói quen và nhật ký trên máy vẫn được giữ nguyên." → (1) bấm Huỷ, (2) bấm lại và chọn Đăng xuất.</t>
  </si>
  <si>
    <t>(1) vẫn ở Trang chủ; (2) quay về màn Đăng nhập.</t>
  </si>
  <si>
    <t>bấm một lần là thoát ngay (không hỏi lại), hoặc bấm Huỷ mà vẫn bị đăng xuất.</t>
  </si>
  <si>
    <t>KB-63</t>
  </si>
  <si>
    <t>Dữ liệu còn nguyên sau khi đăng xuất</t>
  </si>
  <si>
    <t>sau khi đăng xuất, bấm "Bỏ qua, dùng ở chế độ khách" → mở tab Thói quen và Trang chủ.</t>
  </si>
  <si>
    <t>đủ thói quen và tiến độ hôm nay y như trước khi đăng xuất; lời chào không có dòng tên.</t>
  </si>
  <si>
    <t>thói quen/nhật ký biến mất (lỗi nghiêm trọng về dữ liệu).</t>
  </si>
  <si>
    <t>KB-64</t>
  </si>
  <si>
    <t>Đăng nhập lại bằng tài khoản cũ</t>
  </si>
  <si>
    <t>đăng xuất → đăng nhập lại bằng email/mật khẩu đã dùng.</t>
  </si>
  <si>
    <t>vào Trang chủ, lời chào có dòng tên màu xanh (phần trước @ của email) và dữ liệu vẫn như cũ.</t>
  </si>
  <si>
    <t>hiện tên của người khác (nếu vừa đăng nhập tài khoản khác), hoặc mất dữ liệu vừa tạo.</t>
  </si>
  <si>
    <t>KB-65</t>
  </si>
  <si>
    <t>Mở lại app sau khi đã đăng nhập</t>
  </si>
  <si>
    <t>tắt app hoàn toàn (vuốt khỏi danh sách ứng dụng gần đây) → mở lại.</t>
  </si>
  <si>
    <t>app vào thẳng Trang chủ, không hỏi đăng nhập lại (chỉ nháy màn hình chờ rất ngắn).</t>
  </si>
  <si>
    <t>mất phiên đăng nhập ngay sau khi vừa đăng nhập xong.</t>
  </si>
  <si>
    <t>KB-66</t>
  </si>
  <si>
    <t>Chế độ khách có được "nhớ" không?</t>
  </si>
  <si>
    <t>đang ở chế độ khách, vuốt app khỏi danh sách ứng dụng gần đây → mở lại app.</t>
  </si>
  <si>
    <t>Bạn sẽ thấy (hiện trạng): app quay về màn Đăng nhập (chế độ khách không được ghi nhớ sau khi tắt hẳn app), nhưng dữ liệu vẫn còn — bạn chỉ cần bấm "Bỏ qua, dùng ở chế độ khách" lại.</t>
  </si>
  <si>
    <t>Cách ghi: đây không phải crash, nhưng là trải nghiệm dễ gây khó chịu cho khách hàng. Hãy ghi lại như một đề xuất cải tiến ("cho phép nhớ chế độ khách đã chọn").</t>
  </si>
  <si>
    <t>KB-67</t>
  </si>
  <si>
    <t>Cài bản mới đè lên bản đang dùng</t>
  </si>
  <si>
    <t>khi trong máy đã có thói quen + nhật ký, cài đè APK mới (không gỡ app) → mở app.</t>
  </si>
  <si>
    <t>thói quen, nhật ký và tiến độ hôm nay còn nguyên.</t>
  </si>
  <si>
    <t>dữ liệu biến mất sau khi nâng cấp (lỗi nghiêm trọng nhất của tài liệu này).</t>
  </si>
  <si>
    <t>KB-68</t>
  </si>
  <si>
    <t>Gỡ app rồi cài lại</t>
  </si>
  <si>
    <t>gỡ app (giữ lại rồi cài lại) → mở app.</t>
  </si>
  <si>
    <t>về màn Đăng nhập, dữ liệu trống — đây là đúng, vì dữ liệu nằm trên máy. Dùng cách này khi bạn muốn test lại từ đầu.</t>
  </si>
  <si>
    <t>KB-69</t>
  </si>
  <si>
    <t>Bảo mật dữ liệu trên máy</t>
  </si>
  <si>
    <t>Chỉ dành cho người test biết kỹ thuật: dữ liệu lưu trong một tệp đã mã hoá, nên công cụ xem dữ liệu thông thường sẽ không mở được và không được dùng làm bằng chứng lỗi. Các bước kiểm tra mã hoá nằm ở TC-DB-11…14 trong TESTCASE_HealthyAI.md.</t>
  </si>
  <si>
    <t>KB-70</t>
  </si>
  <si>
    <t>Hành trình J — "Quỳnh soi từng chi tiết: màu, cỡ chữ, vòng đời"</t>
  </si>
  <si>
    <t>Chế độ tối (dark mode)</t>
  </si>
  <si>
    <t>Cài đặt máy → Hiển thị → bật Chủ đề tối → mở app, đi qua cả 4 tab + màn Thêm/Sửa thói quen.</t>
  </si>
  <si>
    <t>nền màn hình tối, các thẻ cũng tối hơn nền một chút, chữ đọc rõ ở mọi màn; các thẻ gợi ý AI vẫn phân biệt được mức độ (thẻ khẩn cấp có viền đỏ).</t>
  </si>
  <si>
    <t>có thẻ nền trắng chữ trắng (chữ biến mất), hoặc chữ xám trên nền xám khó đọc. Chụp ảnh ngay — đây từng là lỗi đã sửa.</t>
  </si>
  <si>
    <t>KB-71</t>
  </si>
  <si>
    <t>Đổi sáng/tối khi app đang mở</t>
  </si>
  <si>
    <t>để app đang mở, tắt/bật chủ đề tối từ cài đặt máy rồi quay lại app.</t>
  </si>
  <si>
    <t>app không crash, màu đổi theo (có thể phải mở lại app).</t>
  </si>
  <si>
    <t>KB-72</t>
  </si>
  <si>
    <t>Cỡ chữ lớn</t>
  </si>
  <si>
    <t>Cài đặt máy → Hiển thị → Cỡ chữ: Lớn nhất → mở app, xem nút "Tạo thói quen", tiêu đề các màn, và thẻ thói quen.</t>
  </si>
  <si>
    <t>chữ vẫn đọc được, nút vẫn bấm được. Nếu chữ bị cắt cụt ở nút hoặc bị chồng lên nhau, hãy ghi lại kèm ảnh (đây là quan sát trải nghiệm, mức độ thấp).</t>
  </si>
  <si>
    <t>KB-73</t>
  </si>
  <si>
    <t>Xoay màn hình ở mọi màn</t>
  </si>
  <si>
    <t>xoay ngang rồi xoay dọc ở: cả 4 tab, màn Thêm/Sửa thói quen, hộp thoại ghi nhận, màn Đăng nhập.</t>
  </si>
  <si>
    <t>không màn nào bị trắng/crash; dữ liệu đã nhập ở màn Sửa còn nguyên; danh sách vẫn cuộn được.</t>
  </si>
  <si>
    <t>mất dữ liệu đã nhập, hoặc app đóng đột ngột.</t>
  </si>
  <si>
    <t>KB-74</t>
  </si>
  <si>
    <t>Qua nửa đêm (kiểm tra "ngày mới")</t>
  </si>
  <si>
    <t>đặt giờ máy tới 00:05 hôm sau (hoặc chờ thật) → mở lại app.</t>
  </si>
  <si>
    <t>tiến độ "hôm nay" trở về 0 (dù hôm qua đã đạt mục tiêu), tiêu đề tab Thói quen đổi sang ngày mới, lời chào đổi theo giờ (Chào buổi đêm cho khung 22:00–04:59), biểu đồ tuần dồn sang cột mới còn cột hôm qua giữ nguyên % đã đạt; dữ liệu hôm qua không mất (vẫn thấy trong biểu đồ tuần và Phân tích).</t>
  </si>
  <si>
    <t>nhật ký hôm qua bị xoá, hoặc tiến độ hôm qua vẫn còn tính vào hôm nay.</t>
  </si>
  <si>
    <t>KB-75</t>
  </si>
  <si>
    <t>Tắt app rồi mở lại — dữ liệu có nhớ?</t>
  </si>
  <si>
    <t>sau khi tạo thói quen và ghi nhận, tắt app (vuốt khỏi danh sách gần đây) → mở lại.</t>
  </si>
  <si>
    <t>(ở chế độ khách bạn phải bấm "Bỏ qua" lại — xem KB-66) thói quen và tiến độ hôm nay vẫn đúng như trước.</t>
  </si>
  <si>
    <t>tiến độ về 0 dù vẫn trong cùng một ngày (đây từng là lỗi đã sửa — báo ngay nếu gặp lại).</t>
  </si>
  <si>
    <t>KB-76</t>
  </si>
  <si>
    <t>"Khách hàng khó tính": từ chối mọi thứ</t>
  </si>
  <si>
    <t>gỡ app → cài lại → từ chối quyền thông báo, quyền Health Connect, quyền Camera; không đăng nhập; đi qua cả 4 tab, tạo thói quen, ghi nhận, xoay màn hình, bật chế độ tối.</t>
  </si>
  <si>
    <t>app không crash ở bất kỳ đâu, chỉ hiện các thẻ nhắc cấp quyền.</t>
  </si>
  <si>
    <t>có bất kỳ màn hình trắng, đứng im, hay app tự thoát.</t>
  </si>
  <si>
    <t>KB-77</t>
  </si>
  <si>
    <t>Hành trình K — "Quỳnh muốn app tự đếm bước, không cần app nào khác"</t>
  </si>
  <si>
    <t>Bật quyền đếm bước chân</t>
  </si>
  <si>
    <t>Trang chủ, máy là điện thoại thật (có cảm biến đếm bước), app chưa được cấp quyền.</t>
  </si>
  <si>
    <t>bấm "Bật đếm bước chân" → hộp thoại hệ thống "Cho phép HealthyAI nhận diện hoạt động thể chất?" → Cho phép.</t>
  </si>
  <si>
    <t>thẻ "Bật đếm bước chân" (nội dung nói app đọc số bước trực tiếp từ cảm biến của điện thoại), nút "Bật đếm bước chân" và nút phụ "Không thấy hộp thoại? Mở cài đặt quyền".
thẻ biến mất ngay; chỉ số Bước chân bắt đầu đếm từ lúc này — vẫn là 0.0k cho tới khi bạn đi bộ. (Bản cũ cộng luôn số bước đã đi trước khi cấp quyền; nay app chỉ tính phần đi trong lúc app đang chạy.)</t>
  </si>
  <si>
    <t>máy thật có cảm biến mà không thấy thẻ; hoặc đã cấp quyền, đi bộ trong lúc app đang mở mà vẫn 0.0k (xem KB-78).</t>
  </si>
  <si>
    <t>KB-78</t>
  </si>
  <si>
    <t>Đi bộ và thấy số bước tự tăng</t>
  </si>
  <si>
    <t>giữ app đang mở (màn Trang chủ), cầm điện thoại đi bộ khoảng 50–100 bước (trong nhà cũng được), quay lại Trang chủ.</t>
  </si>
  <si>
    <t>số ở ô Bước chân tăng lên. Bạn không cần cài Google Fit / Samsung Health / đồng hồ gì cả. (Thẻ "Tóm tắt sức khỏe" không còn dòng chú thích nguồn nào dưới 3 vòng tròn.)</t>
  </si>
  <si>
    <t>đi 100 bước trong lúc app đang mở mà số đứng im (chờ thêm ~15 giây rồi xem lại; vẫn im thì ghi lỗi kèm máy/phiên bản Android).</t>
  </si>
  <si>
    <t>KB-79</t>
  </si>
  <si>
    <t>App ở nền thì vẫn đếm, đóng hẳn app thì không</t>
  </si>
  <si>
    <t>(1) ghi lại số bước đang có → bấm Home (đưa app xuống nền — đừng vuốt khỏi tác vụ) → đi tiếp ~50 bước → quay lại app. (2) Vuốt app khỏi màn hình tác vụ gần đây (đóng hẳn) → đi tiếp ~50 bước → mở lại app. (3) Khởi động lại điện thoại → mở app → đi tiếp ~50 bước → xem lại số.</t>
  </si>
  <si>
    <t>(1) số bước tăng đúng phần vừa đi — app ở nền mà còn trong tác vụ thì vẫn đếm. (2) phần đi lúc app đã đóng hẳn không được cộng vào, nhưng số đã đếm trong ngày vẫn giữ (không về 0). (3) sau khi khởi động lại máy, số bước trong ngày không tụt về 0 mà tiếp tục tăng.</t>
  </si>
  <si>
    <t>(1) app ở nền (còn trong tác vụ) mà số không tăng; hoặc (3) số bước về 0 sau khi khởi động lại máy.</t>
  </si>
  <si>
    <t>Ghi chú: (2) là chủ ý: HealthyAI chỉ đếm bước trong lúc app đang chạy (đang mở hoặc còn trong tác vụ) — bước đi khi app đã bị đóng hẳn không tính, nên số hiển thị sẽ nhỏ hơn số bước thật trong ngày nếu bạn đóng app nhiều lần. Muốn số sát thực tế nhất, hãy dùng Health Connect (đồng hồ đeo tay / app sức khỏe) — nguồn đó vẫn được ưu tiên khi có số.</t>
  </si>
  <si>
    <t>KB-80</t>
  </si>
  <si>
    <t>Máy không có cảm biến đếm bước (emulator)</t>
  </si>
  <si>
    <t>mở app trên emulator (hoặc máy không có cảm biến đếm bước).</t>
  </si>
  <si>
    <t>không có thẻ "Bật đếm bước chân" (không có gì để người dùng bật), và số bước vẫn lấy từ Health Connect như trước — muốn có số thì phải bơm dữ liệu (phụ lục B).</t>
  </si>
  <si>
    <t>app vẫn hiện thẻ xin quyền trên máy không có cảm biến, hoặc crash vì thiếu cảm biến.</t>
  </si>
  <si>
    <t>HƯỚNG DẪN DÙNG FILE NÀY</t>
  </si>
  <si>
    <t>File Excel này là bản thực thi của kịch bản test trải nghiệm khách hàng (nguồn: KICHBAN_TEST_KHACH_HANG_HealthyAI.md). Bạn cầm điện thoại, làm theo từng kịch bản như một khách hàng thật và ghi kết quả ngay trong file.</t>
  </si>
  <si>
    <t>CÁCH DÙNG</t>
  </si>
  <si>
    <t>1. Mở sheet “Kịch bản test”. Mỗi dòng là một kịch bản (KB-xx) — đúng những gì Quỳnh, khách hàng duy nhất của bộ kịch bản này, sẽ làm.</t>
  </si>
  <si>
    <t>2. Đọc cột “Bạn đang ở” (nếu có) → làm theo cột “Bạn làm” → đối chiếu với cột “Bạn sẽ thấy”.</t>
  </si>
  <si>
    <t>3. Nếu kết quả khác với cột “Đáng ngờ nếu” → chọn “Không đạt” ở cột KQ, chụp ảnh màn hình và ghi lại vào cột “Ảnh chụp / Ghi chú”.</t>
  </si>
  <si>
    <t>4. Cột KQ có sẵn danh sách chọn (Đạt / Không đạt / Chưa test được / Không áp dụng) và tự đổi màu xanh–đỏ theo kết quả.</t>
  </si>
  <si>
    <t>5. Sheet “Tổng kết” tự tính tiến độ. Sheet “Không phải lỗi” liệt kê những điều trông như lỗi nhưng là chủ ý — đọc trước khi báo lỗi.</t>
  </si>
  <si>
    <t>6. Mỗi kịch bản test trọn vẹn rồi mới sang kịch bản khác. Bị kẹt thì ghi lại rồi đi tiếp, đừng cố sửa.</t>
  </si>
  <si>
    <t>Lưu ý về bản cài đang test: app cài bằng APK debug (com.healthyai.app, versionName 1.0.0). Kịch bản KB-57…KB-61 nói về widget màn hình chính “Sức khỏe hôm nay” — widget cũ (tiến độ thói quen) sẽ biến mất sau khi cài đè, bạn cần thêm lại widget mới từ danh sách Widgets.</t>
  </si>
  <si>
    <t>1. Đọc gì trước khi bắt đầu</t>
  </si>
  <si>
    <t>1.1. Ba quy tắc khi test theo vai khách hàng</t>
  </si>
  <si>
    <t>1. Chỉ ghi điều bạn thực sự thấy. Không suy đoán nguyên nhân kỹ thuật — bạn là khách hàng, không phải lập trình viên.</t>
  </si>
  <si>
    <t>2. Mỗi kịch bản test trọn vẹn rồi mới sang kịch bản khác. Nếu bị kẹt, ghi lại và đi tiếp, đừng cố sửa.</t>
  </si>
  <si>
    <t>3. Có gì lạ thì chụp ảnh màn hình ngay. Một ảnh chụp lúc lỗi đáng giá hơn 10 câu mô tả.</t>
  </si>
  <si>
    <t>1.2. Ký hiệu mức độ</t>
  </si>
  <si>
    <t>Ký hiệu · Nghĩa</t>
  </si>
  <si>
    <t>🔴 · Bắt buộc — nếu sai thì khách hàng không dùng được app (crash, mất dữ liệu, không vào được)</t>
  </si>
  <si>
    <t>🟠 · Quan trọng — luồng chính một người dùng thật sẽ đi qua</t>
  </si>
  <si>
    <t>⚪ · Tùy chọn — trường hợp hiếm, máy đặc biệt, hoặc kiểm tra thêm</t>
  </si>
  <si>
    <t>1.3. Cách ghi kết quả</t>
  </si>
  <si>
    <t>Mỗi kịch bản ghi một trong bốn trạng thái: Đạt / Không đạt / Chưa test được / Không áp dụng.</t>
  </si>
  <si>
    <t>Ghi vào bảng theo dõi ở mục 8, kèm ảnh chụp nếu không đạt.</t>
  </si>
  <si>
    <t>2. Chuẩn bị (khoảng 15 phút)</t>
  </si>
  <si>
    <t>2.1. Bạn cần có</t>
  </si>
  <si>
    <t>Hạng mục · Yêu cầu · Ghi chú</t>
  </si>
  <si>
    <t>Điện thoại / emulator · Pixel 7, API 34, có Google Play · Cần Google Play để cài Health Connect</t>
  </si>
  <si>
    <t>Bản cài app · APK debug app-debug.apk (đã có sẵn: app/build/outputs/apk/debug/app-debug.apk) · Nếu chưa có, mở project bằng Android Studio → Run ▶️</t>
  </si>
  <si>
    <t>Mạng Internet · Cần cho đăng nhập/đăng ký và đồng bộ Firebase · Không cần cho thói quen, Health Connect, Camera, AI</t>
  </si>
  <si>
    <t>Nhiệt độ pin · Trên 20%, tốt nhất đang sạc · Một số tác vụ nền chỉ chạy khi pin không yếu</t>
  </si>
  <si>
    <t>2.2. Cài app</t>
  </si>
  <si>
    <t>1. Cài APK: kéo–thả file app-debug.apk vào emulator, hoặc adb install -r app-debug.apk.</t>
  </si>
  <si>
    <t>2. Nếu máy đã có bản cũ, cài đè (không gỡ app) — đây chính là kịch bản KB-67 (nâng cấp không mất dữ liệu).</t>
  </si>
  <si>
    <t>2.3. Ba thứ nên chuẩn bị trước</t>
  </si>
  <si>
    <t>1. Một tài khoản email test (ví dụ healthyai.test01@gmail.com) + mật khẩu ≥ 6 ký tự, để test đăng nhập/đăng ký.</t>
  </si>
  <si>
    <t>Nếu app báo "Phương thức Email/Mật khẩu chưa được bật trên Firebase Console" hoặc "Không có kết nối mạng": ghi lại, rồi bỏ qua bằng chế độ khách và tiếp tục — mọi thứ khác vẫn test được.</t>
  </si>
  <si>
    <t>2. Health Connect Toolbox (cài từ Google Play trên emulator) — đây là "máy bơm" dữ liệu giả để xem chỉ số sức khỏe (xem phụ lục B).</t>
  </si>
  <si>
    <t>3. Chỗ trống trên màn hình chính để thêm widget "Sức khỏe hôm nay".</t>
  </si>
  <si>
    <t>2.4. Trước mỗi vòng test, làm sạch để bắt đầu từ số 0</t>
  </si>
  <si>
    <t>Cách · Kết quả</t>
  </si>
  <si>
    <t>Gỡ app rồi cài lại · Sạch hoàn toàn: về màn Đăng nhập, mất thói quen và nhật ký (dữ liệu nằm trên máy)</t>
  </si>
  <si>
    <t>Bấm icon Đăng xuất ở Trang chủ · Chỉ xoá phiên đăng nhập — giữ nguyên thói quen/nhật ký</t>
  </si>
  <si>
    <t>Nếu bạn muốn test lại từ đầu nhưng không muốn mất dữ liệu đã tạo, chỉ cần đăng xuất rồi tạo lại tài khoản mới — dữ liệu vẫn còn.</t>
  </si>
  <si>
    <t>3. Khách hàng: Quỳnh</t>
  </si>
  <si>
    <t>Bộ kịch bản này chỉ có một khách hàng duy nhất: Quỳnh. Bạn cầm điện thoại và làm mọi việc Quỳnh sẽ làm, lần lượt qua 11 hành trình dưới đây — có lúc Quỳnh là người mới dùng app, có lúc lỡ tay bấm sai, có lúc khó tính soi từng chi tiết.</t>
  </si>
  <si>
    <t>• Là ai: nhân viên văn phòng, 30 tuổi, mới tải app, dùng điện thoại Android hằng ngày, chạy bộ 2–3 buổi/tuần.</t>
  </si>
  <si>
    <t>• Mong muốn: theo dõi uống nước &amp; giấc ngủ mà không phải tạo tài khoản; số bước chân / giấc ngủ tự hiện; app mách nước và ghi bữa ăn bằng camera; app không được crash dù chị từ chối quyền hay gõ sai.</t>
  </si>
  <si>
    <t>• Tính cách khi test: có lúc cẩu thả (gõ sai, bấm lia lịa), có lúc khó tính (tắt thông báo, bật chế độ tối, thử cả thao tác hiểm).</t>
  </si>
  <si>
    <t>Hành trình · Quỳnh làm gì trong hành trình này</t>
  </si>
  <si>
    <t>A · Ngày đầu tiên: mở app, vào bằng chế độ khách, tạo 5 thói quen đầu tiên</t>
  </si>
  <si>
    <t>B · Một ngày dùng app: ghi nhận, lọc theo buổi, sửa mục tiêu</t>
  </si>
  <si>
    <t>C · Quỳnh lỡ tay: gõ sai, bấm lia lịa, nhập số vô lý</t>
  </si>
  <si>
    <t>D · Quỳnh muốn số liệu sức khỏe tự hiện (Health Connect)</t>
  </si>
  <si>
    <t>E · Quỳnh không muốn bị làm phiền (thông báo nhắc nhở)</t>
  </si>
  <si>
    <t>F · Quỳnh muốn chụp ảnh bữa ăn</t>
  </si>
  <si>
    <t>G · Quỳnh kiểm tra xem app có thông minh không (gợi ý AI, chỉ số sinh lực)</t>
  </si>
  <si>
    <t>H · Quỳnh muốn thấy sức khỏe hôm nay ngay trên màn hình chính (widget)</t>
  </si>
  <si>
    <t>I · Quỳnh kiểm tra tài khoản và dữ liệu (đăng xuất, cài đè, giữ dữ liệu)</t>
  </si>
  <si>
    <t>J · Quỳnh soi từng chi tiết: màu, cỡ chữ, vòng đời màn hình</t>
  </si>
  <si>
    <t>K · Quỳnh muốn app tự đếm bước, không cần app nào khác</t>
  </si>
  <si>
    <t>7. Khi bạn phát hiện vấn đề — mẫu báo lỗi</t>
  </si>
  <si>
    <t>Ghi đúng 6 dòng dưới đây cho mỗi vấn đề (đừng cố giải thích nguyên nhân):</t>
  </si>
  <si>
    <t>1. Tôi đang làm gì:      ..............................................</t>
  </si>
  <si>
    <t>2. Tôi mong đợi:         ..............................................</t>
  </si>
  <si>
    <t>3. Thực tế xảy ra:       ..............................................</t>
  </si>
  <si>
    <t>4. Có lặp lại không:     luôn luôn / thỉnh thoảng / chỉ 1 lần</t>
  </si>
  <si>
    <t>5. Ảnh &amp; thời điểm:      &lt;tên ảnh&gt; — lúc ......... (ngày/giờ máy)</t>
  </si>
  <si>
    <t>6. Mức độ khó chịu:      Chặn dùng / Rất khó chịu / Khó chịu nhẹ / Góp ý</t>
  </si>
  <si>
    <t>Cách lấy bằng chứng nhanh (nếu bạn biết dùng máy tính):</t>
  </si>
  <si>
    <t>Bằng chứng · Cách lấy</t>
  </si>
  <si>
    <t>Ảnh màn hình · Nút nguồn + giảm âm lượng, hoặc biểu tượng chụp ảnh của emulator</t>
  </si>
  <si>
    <t>Video thao tác · Công cụ ghi màn hình của emulator</t>
  </si>
  <si>
    <t>Nhật ký kỹ thuật (khi cần) · adb logcat -s HealthSyncWorker SyncWorker HealthDataRepository DatabaseKeyMigration</t>
  </si>
  <si>
    <t>Nguyên tắc: ảnh chụp + 6 dòng mô tả là đủ. Không cần đọc code, không cần đoán bệnh.</t>
  </si>
  <si>
    <t>9. Nếu bạn chỉ có 60 phút</t>
  </si>
  <si>
    <t>Chạy 16 kịch bản theo đúng thứ tự này — đây là "một ngày của Quỳnh" khép kín:</t>
  </si>
  <si>
    <t>KB-01 → KB-05 → KB-07 → KB-08 → KB-09 → KB-10 → KB-13 → KB-15 → KB-18 → KB-23 → KB-30 → KB-42 → KB-45 → KB-48 → KB-59 → KB-67 → KB-77 → KB-78</t>
  </si>
  <si>
    <t>Nếu tất cả đều Đạt, bạn có thể tự tin bản dựng này dùng được cho người dùng thật. Sau đó dành thời gian còn lại cho hành trình J (màu sắc/vòng đời) và hành trình E (nhắc nhở) — đây là nơi lỗi hay trốn nhất.</t>
  </si>
  <si>
    <t>TỔNG KẾT KẾT QUẢ</t>
  </si>
  <si>
    <t>Các ô dưới đây tự tính từ cột KQ ở sheet “Kịch bản test” — bạn không cần sửa.</t>
  </si>
  <si>
    <t>Theo trạng thái</t>
  </si>
  <si>
    <t>Trạng thái</t>
  </si>
  <si>
    <t>Số kịch bản</t>
  </si>
  <si>
    <t>Đạt</t>
  </si>
  <si>
    <t>Không đạt</t>
  </si>
  <si>
    <t>Chưa test được</t>
  </si>
  <si>
    <t>Không áp dụng</t>
  </si>
  <si>
    <t>Chưa có kết quả</t>
  </si>
  <si>
    <t>Tổng số kịch bản</t>
  </si>
  <si>
    <t>Theo mức độ</t>
  </si>
  <si>
    <t>Tổng</t>
  </si>
  <si>
    <t>Chưa test</t>
  </si>
  <si>
    <t>Theo hành trình</t>
  </si>
  <si>
    <t>ĐỌC TRƯỚC KHI BÁO LỖI — những điều sau là CHỦ Ý, không phải lỗi</t>
  </si>
  <si>
    <t>5. Điều KHÔNG phải lỗi (giới hạn đã biết — đừng ghi thành lỗi)</t>
  </si>
  <si>
    <t>Hiện tượng bạn có thể gặp · Vì sao · Ghi thế nào</t>
  </si>
  <si>
    <t>Chỉ số sức khỏe = 0 dù máy có Health Connect · Bạn chưa cấp đủ 4 quyền, hoặc máy chưa có dữ liệu · Ghi "chưa cấp quyền/chưa có dữ liệu"</t>
  </si>
  <si>
    <t>Tab Phân tích gần như trống trong buổi test đầu · Gợi ý theo dữ liệu Health Connect cần nhiều ngày liên tiếp · Ghi "chưa đủ dữ liệu để đánh giá"</t>
  </si>
  <si>
    <t>Kết quả camera vô nghĩa ("Garden", "Table"…) · Đang chụp ảnh webcam/văn phòng thay vì đồ ăn thật · Không ghi là lỗi</t>
  </si>
  <si>
    <t>Thẻ "Xu hướng chất lượng giấc ngủ" báo chưa có dữ liệu · Máy/nhà sản xuất không ghi được pha Sâu/Nông/REM · Không ghi là lỗi</t>
  </si>
  <si>
    <t>Thông báo nhắc nhở chưa đến ngay · Job nhắc nhở chạy theo chu kỳ 24 giờ, hơn nữa chỉ chạy khi pin không yếu · Dùng cách ở phụ lục C để chạy ngay</t>
  </si>
  <si>
    <t>Không xem được dữ liệu bằng công cụ xem database · Dữ liệu lưu trên máy đã được mã hoá · Không ghi là lỗi</t>
  </si>
  <si>
    <t>Chế độ khách không được nhớ sau khi tắt hẳn app · Hiện trạng (KB-66) · Ghi thành đề xuất cải tiến</t>
  </si>
  <si>
    <t>Gỡ app rồi cài lại thì mất dữ liệu · Dữ liệu nằm trên máy, không có tài khoản để khôi phục · Ghi "đúng như thiết kế"</t>
  </si>
  <si>
    <t>Số liệu sức khỏe không đổi dù vừa có dữ liệu mới trong Health Connect · Trang chủ chỉ đọc lại số liệu khi mở lại app hoặc khi quyền Health Connect vừa thay đổi — chuyển tab qua lại không kích hoạt đọc lại · Mở lại app rồi đo lại; nếu vẫn sai thì ghi lỗi</t>
  </si>
  <si>
    <t>Số nhịp tim = 0 dù Health Connect có dữ liệu nhịp tim · App chỉ đọc nhịp tim trong 60 phút gần nhất · Bơm dữ liệu nhịp tim mới rồi mở lại app</t>
  </si>
  <si>
    <t>Số giấc ngủ = 0 dù Health Connect có phiên ngủ · App chỉ đọc phiên ngủ nằm trong khoảng 18:00 hôm qua → bây giờ · Bơm phiên ngủ kết thúc trong khoảng đó</t>
  </si>
  <si>
    <t>Số bước chân = 0 dù bạn đã đi bộ · Nếu máy có cảm biến đếm bước: cấp quyền "Bật đếm bước chân" (KB-77) là app tự đếm. Nếu máy không có cảm biến (emulator): điện thoại không tự ghi bước vào Health Connect — phải có app nguồn (Samsung Health / Fitbit / Mi Fitness / Toolbox) đồng bộ vào · Xem phụ lục B.3 và KB-77…KB-80</t>
  </si>
  <si>
    <t>Số bước chân nhỏ hơn số bước bạn thật sự đi trong ngày · App chỉ đếm bước trong lúc đang chạy (mở hoặc còn trong tác vụ) — bước đi khi app đã bị đóng hẳn không được cộng (KB-79) · Không ghi là lỗi; muốn số sát thực tế thì dùng Health Connect</t>
  </si>
  <si>
    <t>6. Điều nên ghi lại dù chưa chắc là lỗi (quan sát trải nghiệm)</t>
  </si>
  <si>
    <t>Đây là những điểm tôi thấy khi đọc app — bạn hãy kiểm chứng bằng mắt và ghi lại cảm nhận như một khách hàng:</t>
  </si>
  <si>
    <t>1. Thẻ "Thêm thói quen đầu tiên" ở Trang chủ không bấm được (KB-06). Khách hàng mới rất dễ bấm vào đó và… không có gì xảy ra. Có nên cho bấm để mở màn tạo thói quen?</t>
  </si>
  <si>
    <t>2. Thẻ "Tóm tắt sức khỏe" có mũi tên mà không bấm được (KB-06) — mũi tên thường khiến người dùng nghĩ là "chạm để xem chi tiết".</t>
  </si>
  <si>
    <t>3. Khi đã đạt mục tiêu, nút "Ghi" biến thành "Xong" (KB-10) → bạn không ghi thêm được trong ngày. Hợp lý hay gây bí?</t>
  </si>
  <si>
    <t>4. Kết quả camera không điền sẵn số calo (KB-45) → vẫn phải tự nhập tay.</t>
  </si>
  <si>
    <t>5. Tên widget "Healthy AI" viết khác tên app "HealthyAI" (KB-57) — chi tiết nhỏ nhưng lệch nhận diện thương hiệu.</t>
  </si>
  <si>
    <t>6. Chữ "Hủy"/"Huỷ" viết không thống nhất giữa các hộp thoại (hộp thoại ghi nhận dùng "Hủy", hộp thoại đăng xuất dùng "Huỷ").</t>
  </si>
  <si>
    <t>7. Bấm nút hành động trong thẻ gợi ý AI khi chưa có thói quen đúng danh mục → chỉ hiện dòng nhắc "Chưa có thói quen phù hợp — bấm nút + để tạo mới."; có nên đưa thẳng tới màn tạo thói quen với danh mục đã chọn sẵn?</t>
  </si>
  <si>
    <t>8. Thói quen đã xoá vẫn ảnh hưởng Phân tích: nhật ký cũ vẫn được tính vào gợi ý AI và Chỉ số sinh lực (vì app giữ lại nhật ký theo thiết kế xoá mềm). Nếu bạn thấy cảnh báo về một thói quen bạn đã xoá, hãy ghi lại để nhóm sản phẩm quyết định.</t>
  </si>
  <si>
    <t>9. Tần suất Hàng tuần / Hàng tháng có vẻ chưa ảnh hưởng gì đến danh sách thói quen hôm nay (mọi thói quen đang bật đều hiện mỗi ngày). Hãy thử tạo một thói quen "Hàng tuần" rồi xem nó có hiện mỗi ngày không và ghi lại.</t>
  </si>
  <si>
    <t>10. Ô "Mục tiêu hàng ngày" dùng bàn phím số nguyên nên khó nhập số lẻ (ví dụ 2.5 giờ) — thử xem bạn có gõ được 7.5 không (KB-13) và ghi lại.</t>
  </si>
  <si>
    <t>11. Số liệu sức khỏe "đứng im" và không có lời giải thích (KB-32): khi Health Connect có dữ liệu mới, Trang chủ vẫn hiện số cũ cho tới khi bạn tắt hẳn app rồi mở lại; và khi app không đọc được dữ liệu (thiếu quyền, máy chưa có dữ liệu), nó lặng lẽ hiện số 0 thay vì nói "chưa có dữ liệu". Với một khách hàng, "0 bpm" trông giống như app bị lỗi. Hãy ghi lại cảm nhận này để nhóm sản phẩm cân nhắc: tự làm mới số liệu khi mở lại Trang chủ, và phân biệt rõ "0 vì chưa có dữ liệu" với "không đọc được".</t>
  </si>
  <si>
    <t>PHỤ LỤC — dữ liệu, tác vụ nền, từ điển chữ trên màn hình</t>
  </si>
  <si>
    <t>Phụ lục A — Công thức tạo nhanh từng loại gợi ý AI</t>
  </si>
  <si>
    <t>Gợi ý AI được tính từ nhật ký ghi trong 7 ngày gần nhất. Bạn không cần chờ nhiều ngày — chỉ cần ghi nhiều lần trong cùng một ngày theo công thức sau:</t>
  </si>
  <si>
    <t>Gợi ý bạn muốn thấy · Cách tạo · Nội dung sẽ hiện</t>
  </si>
  <si>
    <t>🚨 Mức nước nguy hiểm thấp (khẩn cấp) · Thói quen Uống nước 2000ml → ghi 300 ba lần · "Bạn uống trung bình 300ml/ngày…" + nút "Ghi nhận uống nước"</t>
  </si>
  <si>
    <t>💧 Uống thêm nước mỗi ngày · Xoá dữ liệu → ghi 1200 một lần · "Lượng nước trung bình của bạn là 1200ml/ngày…", không có nút</t>
  </si>
  <si>
    <t>⚠️ Cảnh báo thiếu ngủ nghiêm trọng · Thói quen Ngủ 8 giờ → ghi 5 ba lần · "…ngủ trung bình 5.0 tiếng/đêm…" + nút "Đặt nhắc nhở đi ngủ"</t>
  </si>
  <si>
    <t>💤 Cải thiện chất lượng giấc ngủ · Sau khi có 3 lần 5, ghi thêm ba lần 8 · "Chất lượng giấc ngủ của bạn có thể tốt hơn…", không có nút</t>
  </si>
  <si>
    <t>🏃 Tăng hoạt động thể chất ngay hôm nay · Thói quen Chạy bộ 30 phút → ghi 10 ba lần · Nói phút và % mục tiêu (không nói "bước") + nút "Ghi nhận vận động"</t>
  </si>
  <si>
    <t>🚶 Tăng dần mục tiêu vận động · Tiếp tục ghi thêm hai lần 25 · Chuyển sang mức nhẹ hơn</t>
  </si>
  <si>
    <t>✅ Mọi thứ đang rất tốt! · Ghi đủ/vượt mục tiêu đến khi hết cảnh báo (xem KB-53) · "Bạn đang duy trì thói quen rất đều đặn…"</t>
  </si>
  <si>
    <t>Mẹo cho người test: sau mỗi lần ghi, chỉ cần chuyển sang tab Phân tích — gợi ý cập nhật ngay, không cần chờ.</t>
  </si>
  <si>
    <t>Phụ lục B — Bơm dữ liệu sức khỏe giả (để test hành trình D)</t>
  </si>
  <si>
    <t>B.0. Health Connect là gì — ai ghi dữ liệu vào đó</t>
  </si>
  <si>
    <t>Health Connect là kho dữ liệu sức khỏe + trạm phân quyền của Android — nó không phải cảm biến và không tự đo gì cả. Nó đứng giữa hai loại ứng dụng:</t>
  </si>
  <si>
    <t>• Ứng dụng nguồn (ghi): app sức khỏe của máy hoặc của đồng hồ — Samsung Health, Fitbit, Mi Fitness, Huawei Health, Zepp Life… Chúng đọc cảm biến/đồng hồ rồi ghi dữ liệu vào kho.</t>
  </si>
  <si>
    <t>• Ứng dụng đọc: HealthyAI — chỉ đọc ra để hiển thị.</t>
  </si>
  <si>
    <t>Cảm biến đếm bước / đồng hồ đeo tay</t>
  </si>
  <si>
    <t>│  (app nguồn đọc rồi ghi vào)</t>
  </si>
  <si>
    <t>▼</t>
  </si>
  <si>
    <t>Health Connect   ← kho dữ liệu + quyền riêng tư, chỉ nằm trên máy, không qua mạng</t>
  </si>
  <si>
    <t>│  (HealthyAI đọc ra, cần quyền)</t>
  </si>
  <si>
    <t>HealthyAI ──► Trang chủ: Bước chân · Ngủ · Tim</t>
  </si>
  <si>
    <t>└───► mỗi 6 giờ lưu bản sao vào Room → tab Phân tích (AI phân tích 7 ngày)</t>
  </si>
  <si>
    <t>Vì sao "kho trống thì app hiện 0": HealthyAI không có cảm biến riêng cho giấc ngủ/nhịp tim/calo, nên khi chưa có app nguồn nào ghi dữ liệu thì app không có gì để đọc. Đây không phải lỗi app.</t>
  </si>
  <si>
    <t>B.0b. Riêng bước chân: app tự đếm bằng cảm biến (không cần Health Connect)</t>
  </si>
  <si>
    <t>Từ bản có tính năng đếm bước bằng cảm biến, số bước không còn phụ thuộc Health Connect:</t>
  </si>
  <si>
    <t>• Trên điện thoại thật (có cảm biến đếm bước phần cứng): bấm thẻ "Bật đếm bước chân" ở Trang chủ → cấp quyền Nhận diện hoạt động thể chất → app tự đếm trong lúc app đang chạy, số bước tự tăng khi bạn đi (xem KB-77…KB-79).</t>
  </si>
  <si>
    <t>• Trên emulator (không có cảm biến): không có thẻ xin quyền, số bước vẫn lấy từ Health Connect → phải bơm dữ liệu như B.2.</t>
  </si>
  <si>
    <t>• Thứ tự ưu tiên khi hiển thị: Health Connect trước (có thể gồm cả dữ liệu đồng hồ), nếu Health Connect không có số thì dùng cảm biến của điện thoại.</t>
  </si>
  <si>
    <t>• ⚠️ Luật đếm của cảm biến: app chỉ cộng phần đếm được trong lúc app đang chạy — app đang mở hoặc còn trong tác vụ (chạy nền) thì đếm tiếp; app bị đóng hẳn (vuốt khỏi tác vụ) thì khoảng thời gian ở giữa không được tính (số đã đếm trong ngày vẫn giữ). Vì vậy số bước có thể nhỏ hơn thực tế nếu bạn đóng app nhiều lần — đây là chủ ý (KB-79).</t>
  </si>
  <si>
    <t>B.1. Mỗi chỉ số lấy dữ liệu từ đâu và trong khung thời gian nào</t>
  </si>
  <si>
    <t>App không tự tạo số liệu — nó đọc từ Health Connect và chỉ đọc trong các khung sau:</t>
  </si>
  <si>
    <t>Chỉ số trên Trang chủ · Nguồn · Khung thời gian app đọc · Hiển thị</t>
  </si>
  <si>
    <t>Bước chân · StepsRecord — hoặc cảm biến đếm bước của máy (xem B.0b) · từ 00:00 hôm nay tới lúc mở app · 3.5k (nghìn bước, 1 số thập phân)</t>
  </si>
  <si>
    <t>Ngủ · SleepSessionRecord · từ 18:00 hôm qua tới lúc mở app · 7h 30m</t>
  </si>
  <si>
    <t>Tim · HeartRateRecord · 60 phút gần nhất ⚠️ · 72 bpm (nhịp tim trung bình)</t>
  </si>
  <si>
    <t>(Calories) · ActiveCaloriesBurnedRecord · từ 00:00 hôm nay · không hiện trên thẻ, chỉ dùng cho đồng bộ nền</t>
  </si>
  <si>
    <t>⚠️ Chỗ dễ sai nhất là Nhịp tim: dữ liệu nhịp tim phải có mẫu trong vòng 1 giờ trước khi bạn mở app, nếu không sẽ hiện 0 bpm dù Health Connect có dữ liệu nhịp tim cũ.</t>
  </si>
  <si>
    <t>B.2. Các bước bơm dữ liệu (emulator Pixel 7 API 34 có Google Play)</t>
  </si>
  <si>
    <t>1. Bật emulator và cài app HealthyAI.</t>
  </si>
  <si>
    <t>2. Đảm bảo máy có Health Connect: trên Android 14 nó là thành phần hệ thống; nếu Trang chủ hiện thẻ "Chưa cài Health Connect" thì bấm nút đó để mở Play Store và cài (gói com.google.android.apps.healthdata).</t>
  </si>
  <si>
    <t>3. Trong app HealthyAI, bấm thẻ "Cấp quyền Health Connect" và bật đủ 4 quyền: Bước chân, Giấc ngủ, Nhịp tim, Calories.</t>
  </si>
  <si>
    <t>4. Cài Health Connect Toolbox từ Play Store (trên emulator có Google Play).</t>
  </si>
  <si>
    <t>5. Trong Toolbox, tạo dữ liệu — nhớ đặt thời điểm theo bảng ở B.1:</t>
  </si>
  <si>
    <t>• Steps: ~3 500 bước, khoảng thời gian trong hôm nay (ví dụ 08:00 → 09:00);</t>
  </si>
  <si>
    <t>• Sleep: một phiên kết thúc trong khoảng 18:00 hôm qua → bây giờ (ví dụ 23:00 hôm qua → 06:30 hôm nay). Muốn thẻ "Xu hướng chất lượng giấc ngủ" ở tab Phân tích có số thì thêm các pha Deep/Light/REM cho phiên đó;</t>
  </si>
  <si>
    <t>• Heart rate: một series có mẫu mới nhất vài phút trước (nằm trong 60 phút gần nhất), giá trị ~72;</t>
  </si>
  <si>
    <t>• (tùy chọn) Active calories burned trong hôm nay.</t>
  </si>
  <si>
    <t>6. Quay lại HealthyAI → tắt hẳn app rồi mở lại (Cài đặt máy → Ứng dụng → HealthyAI → Buộc dừng).</t>
  </si>
  <si>
    <t>7. Kỳ vọng ở thẻ "Tóm tắt sức khỏe": 3.5k bước · 7h 30m ngủ · 72 bpm.</t>
  </si>
  <si>
    <t>Muốn test cảnh báo từ dữ liệu Health Connect (thiếu ngủ 3 ngày, nhịp tim &gt; 85): cần dữ liệu nhiều ngày liên tiếp — nên dành việc này cho kỹ thuật, không tính vào buổi test của khách hàng.</t>
  </si>
  <si>
    <t>B.3. Nếu bạn test trên điện thoại thật: đi bộ thôi là chưa đủ</t>
  </si>
  <si>
    <t>✅ Từ bản có "đếm bước bằng cảm biến của máy", số bước không còn phụ thuộc Health Connect nữa.</t>
  </si>
  <si>
    <t>Trên điện thoại thật, bạn chỉ cần bấm "Bật đếm bước chân" ở Trang chủ (quyền Nhận diện hoạt động thể chất) là app tự đếm — xem KB-77…KB-79. Phần dưới đây dành cho trường hợp máy không có cảm biến (emulator) hoặc bạn muốn số bước/giấc ngủ/nhịp tim có nguồn từ đồng hồ.</t>
  </si>
  <si>
    <t>⚠️ Điện thoại đếm được bước chân nhưng KHÔNG tự đưa số bước vào Health Connect. Health Connect chỉ là "kho" — phải có một ứng dụng nguồn ghi dữ liệu vào kho đó, rồi HealthyAI mới đọc được. Nếu bạn mới chỉ đi bộ quanh nhà mà trong Health Connect chưa có hàng dữ liệu nào thì app sẽ mãi hiện 0.0k — đây không phải lỗi app.</t>
  </si>
  <si>
    <t>Kiểm tra theo thứ tự:</t>
  </si>
  <si>
    <t>1. Trong Health Connect có dữ liệu bước chân chưa?</t>
  </si>
  <si>
    <t>Mở app Health Connect → Dữ liệu và quyền truy cập → Bước chân → xem có hàng dữ liệu hôm nay và ứng dụng nguồn là app nào.</t>
  </si>
  <si>
    <t>• Trống → chưa có app nào ghi bước vào Health Connect (đây là nguyên nhân phổ biến nhất).</t>
  </si>
  <si>
    <t>• Có dữ liệu → nhảy xuống bước 4.</t>
  </si>
  <si>
    <t>2. Bật đồng bộ Health Connect ở app nguồn (một trong các app sau, tùy máy bạn có gì):</t>
  </si>
  <si>
    <t>• Samsung Health: Cài đặt → Health Connect → bật đồng bộ (và đảm bảo Samsung Health đang đếm bước).</t>
  </si>
  <si>
    <t>• Google Fit: Hồ sơ → Cài đặt → Đồng bộ với Health Connect.</t>
  </si>
  <si>
    <t>• Fitbit: Hồ sơ → Cài đặt Fitbit → Health Connect.</t>
  </si>
  <si>
    <t>• Mi Fitness / Zepp Life / Huawei Health: trong phần cài đặt ứng dụng → Health Connect.</t>
  </si>
  <si>
    <t>Sau khi bật, đi bộ vài trăm bước rồi quay lại Health Connect xem số đã xuất hiện chưa (app nguồn thường đồng bộ theo chu kỳ, có thể chậm vài phút).</t>
  </si>
  <si>
    <t>3. Không có app nguồn nào? Dùng Health Connect Toolbox để tự tay thêm một hàng Steps cho hôm nay (như B.2) — mục đích là để kiểm chứng phần đọc dữ liệu của HealthyAI, không phải để đo bước thật.</t>
  </si>
  <si>
    <t>4. Kiểm tra quyền của HealthyAI: Health Connect → Dữ liệu và quyền truy cập → Ứng dụng → HealthyAI → phải thấy Bước chân: cho phép đọc (một số máy tự thu hồi quyền của app lâu không dùng → app trả 0 trong im lặng).</t>
  </si>
  <si>
    <t>5. Buộc dừng HealthyAI rồi mở lại (xem KB-32) — vì app chỉ đọc lại số liệu khi được mở lại.</t>
  </si>
  <si>
    <t>6. Máy có cảm biến đếm bước không? Mở ứng dụng sức khỏe sẵn có của máy (Samsung Health / app "Sức khỏe" của Google) — nếu chính app đó cũng hiện 0 bước thì cảm biến/ứng dụng đếm bước của máy chưa hoạt động, không liên quan tới HealthyAI.</t>
  </si>
  <si>
    <t>7. Nếu bạn đang chạy emulator trên laptop: đi bộ quanh nhà không giúp gì được — emulator không có cảm biến bước chân. Bắt buộc dùng cách ở B.2 (bơm dữ liệu).</t>
  </si>
  <si>
    <t>Phụ lục C — Chạy tác vụ nền để kiểm tra ngay (thay vì chờ 24 giờ)</t>
  </si>
  <si>
    <t>Việc cần làm · Cách nhanh</t>
  </si>
  <si>
    <t>Chạy job nhắc nhở daily_reminder_worker · Android Studio → View → Tool Windows → App Inspection → Background Task Inspector → chọn app HealthyAI → chọn job → bấm Run</t>
  </si>
  <si>
    <t>Xem các job đã lên lịch · Trong Background Task Inspector (hoặc adb shell dumpsys jobscheduler · findstr healthyai)</t>
  </si>
  <si>
    <t>Chạy lại đồng bộ dữ liệu Health Connect · Background Task Inspector → job periodic_health_sync_worker → Run</t>
  </si>
  <si>
    <t>Xem nhật ký khi có lỗi · adb logcat -s HealthSyncWorker SyncWorker HealthDataRepository DatabaseKeyMigration</t>
  </si>
  <si>
    <t>Thông báo nhắc nhở và việc tự đồng bộ dữ liệu sức khỏe đều chạy theo chu kỳ (24 giờ và 6 giờ) và chỉ khi pin không yếu — đó là lý do bạn không thấy chúng ngay sau khi cài. Đây là bình thường, không phải lỗi.</t>
  </si>
  <si>
    <t>Phụ lục D — Từ điển chữ hiện trên màn hình (để đối chiếu nhanh)</t>
  </si>
  <si>
    <t>Nơi hiện · Chữ sẽ thấy</t>
  </si>
  <si>
    <t>Màn Đăng nhập · "HealthyAI" · "Theo dõi &amp; cải thiện thói quen sức khỏe" · "Đăng nhập để đồng bộ thói quen lên Firebase" · "Chưa có tài khoản? Đăng ký" · "Bỏ qua, dùng ở chế độ khách"</t>
  </si>
  <si>
    <t>4 tab dưới cùng · Trang chủ · Thói quen · Ghi chép · Phân tích</t>
  </si>
  <si>
    <t>Trang chủ · "Tóm tắt sức khỏe" · "Bước chân" · "Ngủ" · "Tim" · "Thói quen hôm nay" · "Thêm thói quen đầu tiên"</t>
  </si>
  <si>
    <t>Thẻ xin quyền (Trang chủ) · "Cấp quyền Health Connect" · "Chưa cài Health Connect" · "Health Connect cần được cập nhật" · "Bật nhắc nhở hàng ngày" · "Thông báo đang bị tắt"</t>
  </si>
  <si>
    <t>Tab Thói quen · "Theo dõi thói quen" · chip "Tất cả / Sáng / Chiều / Tối" · nút "Ghi" · "Xong" · "Hoàn thành" · "Chưa có thói quen nào"</t>
  </si>
  <si>
    <t>Hộp thoại ghi nhận · "Ghi nhận &lt;tên thói quen&gt;" · "Số lượng (&lt;đơn vị&gt;)" · "Lưu" · "Hủy" · "Đã ghi nhận: &lt;tên&gt;"</t>
  </si>
  <si>
    <t>Màn Thêm/Sửa thói quen · "Thêm thói quen mới" / "Sửa thói quen" · "Danh mục" · "Mục tiêu hàng ngày" · "Thời gian thực hiện" · "Tần suất" · "Tạo thói quen" / "Cập nhật" · "Xóa thói quen?"</t>
  </si>
  <si>
    <t>Tab Ghi chép · "Ghi chép bữa ăn" · "Hướng camera vào món ăn để phân tích." · "Cần quyền Camera" · "Cấp quyền Camera" · "Quét món ăn" · "Phân tích món ăn" · "Đang phân tích..." · "Kết quả nhận diện" · "Tự động" · "Thêm vào nhật ký"</t>
  </si>
  <si>
    <t>Tab Phân tích · "Phân tích AI" · "BLOOM AI GỢI Ý" · "CẢNH BÁO KHẨN CẤP" · "Chỉ số sinh lực" · "Sự nhất quán hàng tuần" · "Xu hướng chất lượng giấc ngủ" · "Mọi thứ đang rất tốt!"</t>
  </si>
  <si>
    <t>Widget · "Sức khỏe hôm nay" (tên widget) · "Healthy AI" · "Hôm nay" · "Bước chân" · "Giấc ngủ" · "Nhịp tim" · -- / -- bpm khi chưa có số</t>
  </si>
  <si>
    <t>Hộp thoại đăng xuất · "Bạn có chắc muốn đăng xuất? Thói quen và nhật ký trên máy vẫn được giữ nguyên."</t>
  </si>
  <si>
    <t>Thông báo nhắc nhở · "HealthyAI 💪 Nhắc nhở thói quen" · "Bạn đã cập nhật thói quen hôm nay chưa? Chỉ cần vài giây thôi!" · kênh "Nhắc nhở thói quen sức khỏe"</t>
  </si>
  <si>
    <t>Hết tài liệu. Khi test xong, gửi lại mục 8 (bảng theo dõi) + các vấn đề ở mục 7 cho nhóm phát triển.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</si>
</sst>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theme="1"/>
      <name val="Calibri"/>
    </font>
    <font>
      <b/>
      <sz val="11"/>
      <color rgb="FFFFFFFF"/>
      <name val="Calibri"/>
    </font>
    <font>
      <i/>
      <sz val="11"/>
      <color rgb="FF5F6B5A"/>
      <name val="Calibri"/>
    </font>
  </fonts>
  <fills count="5">
    <fill>
      <patternFill patternType="none"/>
    </fill>
    <fill>
      <patternFill patternType="gray125"/>
    </fill>
    <fill>
      <patternFill patternType="solid">
        <fgColor rgb="FF2E7D32"/>
        <bgColor indexed="64"/>
      </patternFill>
    </fill>
    <fill>
      <patternFill patternType="solid">
        <fgColor rgb="FFE8F5E9"/>
        <bgColor indexed="64"/>
      </patternFill>
    </fill>
    <fill>
      <patternFill patternType="solid">
        <fgColor rgb="FFF1F8E9"/>
        <bgColor indexed="64"/>
      </patternFill>
    </fill>
  </fills>
  <borders count="2">
    <border>
      <left/>
      <right/>
      <top/>
      <bottom/>
      <diagonal/>
    </border>
    <border>
      <left style="thin">
        <color rgb="FFC8D8C8"/>
      </left>
      <right style="thin">
        <color rgb="FFC8D8C8"/>
      </right>
      <top style="thin">
        <color rgb="FFC8D8C8"/>
      </top>
      <bottom style="thin">
        <color rgb="FFC8D8C8"/>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lignment vertical="top" wrapText="1"/>
    </xf>
    <xf numFmtId="0" fontId="0" fillId="0" borderId="0" xfId="0" applyAlignment="1">
      <alignment vertical="top" wrapText="1"/>
    </xf>
    <xf numFmtId="0" fontId="1" fillId="4" borderId="0" xfId="0" applyFont="1" applyFill="1" applyAlignment="1">
      <alignment vertical="center" wrapText="1"/>
    </xf>
    <xf numFmtId="0" fontId="3" fillId="0" borderId="0" xfId="0" applyFont="1" applyAlignment="1">
      <alignment vertical="top" wrapText="1"/>
    </xf>
  </cellXfs>
  <cellStyles count="1">
    <cellStyle name="Normal" xfId="0" builtinId="0"/>
  </cellStyles>
  <dxfs count="4">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8"/>
  <sheetViews>
    <sheetView workbookViewId="0">
      <pane ySplit="1" topLeftCell="A2" activePane="bottomLeft" state="frozen"/>
      <selection pane="bottomLeft" activeCell="A2" sqref="A2"/>
    </sheetView>
  </sheetViews>
  <sheetFormatPr defaultRowHeight="14.4" x14ac:dyDescent="0.3"/>
  <cols>
    <col min="1" max="1" width="128" customWidth="1"/>
  </cols>
  <sheetData>
    <row r="1" spans="1:1" ht="24" customHeight="1" x14ac:dyDescent="0.3">
      <c r="A1" s="7" t="s">
        <v>422</v>
      </c>
    </row>
    <row r="3" spans="1:1" ht="30.75" customHeight="1" x14ac:dyDescent="0.3">
      <c r="A3" s="6" t="s">
        <v>423</v>
      </c>
    </row>
    <row r="5" spans="1:1" ht="17.399999999999999" customHeight="1" x14ac:dyDescent="0.3">
      <c r="A5" s="7" t="s">
        <v>424</v>
      </c>
    </row>
    <row r="6" spans="1:1" ht="30.75" customHeight="1" x14ac:dyDescent="0.3">
      <c r="A6" s="6" t="s">
        <v>425</v>
      </c>
    </row>
    <row r="7" spans="1:1" ht="17.399999999999999" customHeight="1" x14ac:dyDescent="0.3">
      <c r="A7" s="6" t="s">
        <v>426</v>
      </c>
    </row>
    <row r="8" spans="1:1" ht="30.75" customHeight="1" x14ac:dyDescent="0.3">
      <c r="A8" s="6" t="s">
        <v>427</v>
      </c>
    </row>
    <row r="9" spans="1:1" ht="30.75" customHeight="1" x14ac:dyDescent="0.3">
      <c r="A9" s="6" t="s">
        <v>428</v>
      </c>
    </row>
    <row r="10" spans="1:1" ht="30.75" customHeight="1" x14ac:dyDescent="0.3">
      <c r="A10" s="6" t="s">
        <v>429</v>
      </c>
    </row>
    <row r="11" spans="1:1" ht="17.399999999999999" customHeight="1" x14ac:dyDescent="0.3">
      <c r="A11" s="6" t="s">
        <v>430</v>
      </c>
    </row>
    <row r="13" spans="1:1" ht="44.25" customHeight="1" x14ac:dyDescent="0.3">
      <c r="A13" s="5" t="s">
        <v>431</v>
      </c>
    </row>
    <row r="15" spans="1:1" ht="17.399999999999999" customHeight="1" x14ac:dyDescent="0.3">
      <c r="A15" s="7" t="s">
        <v>432</v>
      </c>
    </row>
    <row r="16" spans="1:1" ht="17.399999999999999" customHeight="1" x14ac:dyDescent="0.3">
      <c r="A16" s="7" t="s">
        <v>433</v>
      </c>
    </row>
    <row r="17" spans="1:1" ht="17.399999999999999" customHeight="1" x14ac:dyDescent="0.3">
      <c r="A17" s="6" t="s">
        <v>434</v>
      </c>
    </row>
    <row r="18" spans="1:1" ht="17.399999999999999" customHeight="1" x14ac:dyDescent="0.3">
      <c r="A18" s="6" t="s">
        <v>435</v>
      </c>
    </row>
    <row r="19" spans="1:1" ht="17.399999999999999" customHeight="1" x14ac:dyDescent="0.3">
      <c r="A19" s="6" t="s">
        <v>436</v>
      </c>
    </row>
    <row r="20" spans="1:1" ht="17.399999999999999" customHeight="1" x14ac:dyDescent="0.3">
      <c r="A20" s="7" t="s">
        <v>437</v>
      </c>
    </row>
    <row r="21" spans="1:1" ht="17.399999999999999" customHeight="1" x14ac:dyDescent="0.3">
      <c r="A21" s="6" t="s">
        <v>438</v>
      </c>
    </row>
    <row r="22" spans="1:1" ht="17.399999999999999" customHeight="1" x14ac:dyDescent="0.3">
      <c r="A22" s="6" t="s">
        <v>439</v>
      </c>
    </row>
    <row r="23" spans="1:1" ht="17.399999999999999" customHeight="1" x14ac:dyDescent="0.3">
      <c r="A23" s="6" t="s">
        <v>440</v>
      </c>
    </row>
    <row r="24" spans="1:1" ht="17.399999999999999" customHeight="1" x14ac:dyDescent="0.3">
      <c r="A24" s="6" t="s">
        <v>441</v>
      </c>
    </row>
    <row r="25" spans="1:1" ht="17.399999999999999" customHeight="1" x14ac:dyDescent="0.3">
      <c r="A25" s="7" t="s">
        <v>442</v>
      </c>
    </row>
    <row r="26" spans="1:1" ht="17.399999999999999" customHeight="1" x14ac:dyDescent="0.3">
      <c r="A26" s="6" t="s">
        <v>443</v>
      </c>
    </row>
    <row r="27" spans="1:1" ht="17.399999999999999" customHeight="1" x14ac:dyDescent="0.3">
      <c r="A27" s="6" t="s">
        <v>444</v>
      </c>
    </row>
    <row r="29" spans="1:1" ht="17.399999999999999" customHeight="1" x14ac:dyDescent="0.3">
      <c r="A29" s="7" t="s">
        <v>445</v>
      </c>
    </row>
    <row r="30" spans="1:1" ht="17.399999999999999" customHeight="1" x14ac:dyDescent="0.3">
      <c r="A30" s="7" t="s">
        <v>446</v>
      </c>
    </row>
    <row r="31" spans="1:1" ht="17.399999999999999" customHeight="1" x14ac:dyDescent="0.3">
      <c r="A31" s="6" t="s">
        <v>447</v>
      </c>
    </row>
    <row r="32" spans="1:1" ht="17.399999999999999" customHeight="1" x14ac:dyDescent="0.3">
      <c r="A32" s="6" t="s">
        <v>448</v>
      </c>
    </row>
    <row r="33" spans="1:1" ht="30.75" customHeight="1" x14ac:dyDescent="0.3">
      <c r="A33" s="6" t="s">
        <v>449</v>
      </c>
    </row>
    <row r="34" spans="1:1" ht="17.399999999999999" customHeight="1" x14ac:dyDescent="0.3">
      <c r="A34" s="6" t="s">
        <v>450</v>
      </c>
    </row>
    <row r="35" spans="1:1" ht="17.399999999999999" customHeight="1" x14ac:dyDescent="0.3">
      <c r="A35" s="6" t="s">
        <v>451</v>
      </c>
    </row>
    <row r="36" spans="1:1" ht="17.399999999999999" customHeight="1" x14ac:dyDescent="0.3">
      <c r="A36" s="7" t="s">
        <v>452</v>
      </c>
    </row>
    <row r="37" spans="1:1" ht="17.399999999999999" customHeight="1" x14ac:dyDescent="0.3">
      <c r="A37" s="6" t="s">
        <v>453</v>
      </c>
    </row>
    <row r="38" spans="1:1" ht="17.399999999999999" customHeight="1" x14ac:dyDescent="0.3">
      <c r="A38" s="6" t="s">
        <v>454</v>
      </c>
    </row>
    <row r="39" spans="1:1" ht="17.399999999999999" customHeight="1" x14ac:dyDescent="0.3">
      <c r="A39" s="7" t="s">
        <v>455</v>
      </c>
    </row>
    <row r="40" spans="1:1" ht="17.399999999999999" customHeight="1" x14ac:dyDescent="0.3">
      <c r="A40" s="6" t="s">
        <v>456</v>
      </c>
    </row>
    <row r="41" spans="1:1" ht="30.75" customHeight="1" x14ac:dyDescent="0.3">
      <c r="A41" s="6" t="s">
        <v>457</v>
      </c>
    </row>
    <row r="42" spans="1:1" ht="30.75" customHeight="1" x14ac:dyDescent="0.3">
      <c r="A42" s="6" t="s">
        <v>458</v>
      </c>
    </row>
    <row r="43" spans="1:1" ht="17.399999999999999" customHeight="1" x14ac:dyDescent="0.3">
      <c r="A43" s="6" t="s">
        <v>459</v>
      </c>
    </row>
    <row r="44" spans="1:1" ht="17.399999999999999" customHeight="1" x14ac:dyDescent="0.3">
      <c r="A44" s="7" t="s">
        <v>460</v>
      </c>
    </row>
    <row r="45" spans="1:1" ht="17.399999999999999" customHeight="1" x14ac:dyDescent="0.3">
      <c r="A45" s="6" t="s">
        <v>461</v>
      </c>
    </row>
    <row r="46" spans="1:1" ht="17.399999999999999" customHeight="1" x14ac:dyDescent="0.3">
      <c r="A46" s="6" t="s">
        <v>462</v>
      </c>
    </row>
    <row r="47" spans="1:1" ht="17.399999999999999" customHeight="1" x14ac:dyDescent="0.3">
      <c r="A47" s="6" t="s">
        <v>463</v>
      </c>
    </row>
    <row r="48" spans="1:1" ht="30.75" customHeight="1" x14ac:dyDescent="0.3">
      <c r="A48" s="8" t="s">
        <v>464</v>
      </c>
    </row>
    <row r="50" spans="1:1" ht="17.399999999999999" customHeight="1" x14ac:dyDescent="0.3">
      <c r="A50" s="7" t="s">
        <v>465</v>
      </c>
    </row>
    <row r="51" spans="1:1" ht="30.75" customHeight="1" x14ac:dyDescent="0.3">
      <c r="A51" s="6" t="s">
        <v>466</v>
      </c>
    </row>
    <row r="52" spans="1:1" ht="17.399999999999999" customHeight="1" x14ac:dyDescent="0.3">
      <c r="A52" s="6" t="s">
        <v>467</v>
      </c>
    </row>
    <row r="53" spans="1:1" ht="30.75" customHeight="1" x14ac:dyDescent="0.3">
      <c r="A53" s="6" t="s">
        <v>468</v>
      </c>
    </row>
    <row r="54" spans="1:1" ht="30.75" customHeight="1" x14ac:dyDescent="0.3">
      <c r="A54" s="6" t="s">
        <v>469</v>
      </c>
    </row>
    <row r="55" spans="1:1" ht="17.399999999999999" customHeight="1" x14ac:dyDescent="0.3">
      <c r="A55" s="6" t="s">
        <v>470</v>
      </c>
    </row>
    <row r="56" spans="1:1" ht="17.399999999999999" customHeight="1" x14ac:dyDescent="0.3">
      <c r="A56" s="6" t="s">
        <v>471</v>
      </c>
    </row>
    <row r="57" spans="1:1" ht="17.399999999999999" customHeight="1" x14ac:dyDescent="0.3">
      <c r="A57" s="6" t="s">
        <v>472</v>
      </c>
    </row>
    <row r="58" spans="1:1" ht="17.399999999999999" customHeight="1" x14ac:dyDescent="0.3">
      <c r="A58" s="6" t="s">
        <v>473</v>
      </c>
    </row>
    <row r="59" spans="1:1" ht="17.399999999999999" customHeight="1" x14ac:dyDescent="0.3">
      <c r="A59" s="6" t="s">
        <v>474</v>
      </c>
    </row>
    <row r="60" spans="1:1" ht="17.399999999999999" customHeight="1" x14ac:dyDescent="0.3">
      <c r="A60" s="6" t="s">
        <v>475</v>
      </c>
    </row>
    <row r="61" spans="1:1" ht="17.399999999999999" customHeight="1" x14ac:dyDescent="0.3">
      <c r="A61" s="6" t="s">
        <v>476</v>
      </c>
    </row>
    <row r="62" spans="1:1" ht="17.399999999999999" customHeight="1" x14ac:dyDescent="0.3">
      <c r="A62" s="6" t="s">
        <v>477</v>
      </c>
    </row>
    <row r="63" spans="1:1" ht="17.399999999999999" customHeight="1" x14ac:dyDescent="0.3">
      <c r="A63" s="6" t="s">
        <v>478</v>
      </c>
    </row>
    <row r="64" spans="1:1" ht="17.399999999999999" customHeight="1" x14ac:dyDescent="0.3">
      <c r="A64" s="6" t="s">
        <v>479</v>
      </c>
    </row>
    <row r="65" spans="1:1" ht="17.399999999999999" customHeight="1" x14ac:dyDescent="0.3">
      <c r="A65" s="6" t="s">
        <v>480</v>
      </c>
    </row>
    <row r="66" spans="1:1" ht="17.399999999999999" customHeight="1" x14ac:dyDescent="0.3">
      <c r="A66" s="6" t="s">
        <v>481</v>
      </c>
    </row>
    <row r="68" spans="1:1" ht="17.399999999999999" customHeight="1" x14ac:dyDescent="0.3">
      <c r="A68" s="7" t="s">
        <v>482</v>
      </c>
    </row>
    <row r="69" spans="1:1" ht="17.399999999999999" customHeight="1" x14ac:dyDescent="0.3">
      <c r="A69" s="6" t="s">
        <v>483</v>
      </c>
    </row>
    <row r="70" spans="1:1" ht="17.399999999999999" customHeight="1" x14ac:dyDescent="0.3">
      <c r="A70" s="6" t="s">
        <v>21</v>
      </c>
    </row>
    <row r="71" spans="1:1" ht="17.399999999999999" customHeight="1" x14ac:dyDescent="0.3">
      <c r="A71" s="6" t="s">
        <v>484</v>
      </c>
    </row>
    <row r="72" spans="1:1" ht="17.399999999999999" customHeight="1" x14ac:dyDescent="0.3">
      <c r="A72" s="6" t="s">
        <v>485</v>
      </c>
    </row>
    <row r="73" spans="1:1" ht="17.399999999999999" customHeight="1" x14ac:dyDescent="0.3">
      <c r="A73" s="6" t="s">
        <v>486</v>
      </c>
    </row>
    <row r="74" spans="1:1" ht="17.399999999999999" customHeight="1" x14ac:dyDescent="0.3">
      <c r="A74" s="6" t="s">
        <v>487</v>
      </c>
    </row>
    <row r="75" spans="1:1" ht="17.399999999999999" customHeight="1" x14ac:dyDescent="0.3">
      <c r="A75" s="6" t="s">
        <v>488</v>
      </c>
    </row>
    <row r="76" spans="1:1" ht="17.399999999999999" customHeight="1" x14ac:dyDescent="0.3">
      <c r="A76" s="6" t="s">
        <v>489</v>
      </c>
    </row>
    <row r="77" spans="1:1" ht="17.399999999999999" customHeight="1" x14ac:dyDescent="0.3">
      <c r="A77" s="6" t="s">
        <v>21</v>
      </c>
    </row>
    <row r="78" spans="1:1" ht="17.399999999999999" customHeight="1" x14ac:dyDescent="0.3">
      <c r="A78" s="6" t="s">
        <v>490</v>
      </c>
    </row>
    <row r="79" spans="1:1" ht="17.399999999999999" customHeight="1" x14ac:dyDescent="0.3">
      <c r="A79" s="6" t="s">
        <v>491</v>
      </c>
    </row>
    <row r="80" spans="1:1" ht="17.399999999999999" customHeight="1" x14ac:dyDescent="0.3">
      <c r="A80" s="6" t="s">
        <v>492</v>
      </c>
    </row>
    <row r="81" spans="1:1" ht="17.399999999999999" customHeight="1" x14ac:dyDescent="0.3">
      <c r="A81" s="6" t="s">
        <v>493</v>
      </c>
    </row>
    <row r="82" spans="1:1" ht="17.399999999999999" customHeight="1" x14ac:dyDescent="0.3">
      <c r="A82" s="6" t="s">
        <v>494</v>
      </c>
    </row>
    <row r="83" spans="1:1" ht="17.399999999999999" customHeight="1" x14ac:dyDescent="0.3">
      <c r="A83" s="8" t="s">
        <v>495</v>
      </c>
    </row>
    <row r="85" spans="1:1" ht="17.399999999999999" customHeight="1" x14ac:dyDescent="0.3">
      <c r="A85" s="7" t="s">
        <v>496</v>
      </c>
    </row>
    <row r="86" spans="1:1" ht="17.399999999999999" customHeight="1" x14ac:dyDescent="0.3">
      <c r="A86" s="6" t="s">
        <v>497</v>
      </c>
    </row>
    <row r="87" spans="1:1" ht="30.75" customHeight="1" x14ac:dyDescent="0.3">
      <c r="A87" s="6" t="s">
        <v>498</v>
      </c>
    </row>
    <row r="88" spans="1:1" ht="30.75" customHeight="1" x14ac:dyDescent="0.3">
      <c r="A88" s="6" t="s">
        <v>499</v>
      </c>
    </row>
  </sheetData>
  <pageMargins left="0.4" right="0.4" top="0.5" bottom="0.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1"/>
  <sheetViews>
    <sheetView tabSelected="1" workbookViewId="0">
      <pane xSplit="5" ySplit="1" topLeftCell="F2" activePane="bottomRight" state="frozen"/>
      <selection pane="topRight"/>
      <selection pane="bottomLeft"/>
      <selection pane="bottomRight" activeCell="F2" sqref="F2"/>
    </sheetView>
  </sheetViews>
  <sheetFormatPr defaultRowHeight="14.4" x14ac:dyDescent="0.3"/>
  <cols>
    <col min="1" max="1" width="5" customWidth="1"/>
    <col min="2" max="2" width="8" customWidth="1"/>
    <col min="3" max="3" width="26" customWidth="1"/>
    <col min="4" max="4" width="13" customWidth="1"/>
    <col min="5" max="6" width="30" customWidth="1"/>
    <col min="7" max="7" width="54" customWidth="1"/>
    <col min="8" max="8" width="62" customWidth="1"/>
    <col min="9" max="9" width="44" customWidth="1"/>
    <col min="10" max="10" width="30" customWidth="1"/>
    <col min="11" max="11" width="13" customWidth="1"/>
    <col min="12" max="12" width="30" customWidth="1"/>
    <col min="13" max="13" width="12" customWidth="1"/>
  </cols>
  <sheetData>
    <row r="1" spans="1:13" ht="30"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84.45" customHeight="1" x14ac:dyDescent="0.3">
      <c r="A2" s="4">
        <v>1</v>
      </c>
      <c r="B2" s="3" t="s">
        <v>13</v>
      </c>
      <c r="C2" s="2" t="s">
        <v>14</v>
      </c>
      <c r="D2" s="4" t="s">
        <v>15</v>
      </c>
      <c r="E2" s="3" t="s">
        <v>16</v>
      </c>
      <c r="F2" s="2" t="s">
        <v>17</v>
      </c>
      <c r="G2" s="2" t="s">
        <v>18</v>
      </c>
      <c r="H2" s="2" t="s">
        <v>19</v>
      </c>
      <c r="I2" s="2" t="s">
        <v>20</v>
      </c>
      <c r="J2" s="2" t="s">
        <v>21</v>
      </c>
      <c r="K2" s="4"/>
      <c r="L2" s="2" t="s">
        <v>21</v>
      </c>
      <c r="M2" s="4" t="s">
        <v>21</v>
      </c>
    </row>
    <row r="3" spans="1:13" ht="30.75" customHeight="1" x14ac:dyDescent="0.3">
      <c r="A3" s="4">
        <v>2</v>
      </c>
      <c r="B3" s="3" t="s">
        <v>22</v>
      </c>
      <c r="C3" s="2" t="s">
        <v>14</v>
      </c>
      <c r="D3" s="4" t="s">
        <v>23</v>
      </c>
      <c r="E3" s="3" t="s">
        <v>24</v>
      </c>
      <c r="F3" s="2" t="s">
        <v>21</v>
      </c>
      <c r="G3" s="2" t="s">
        <v>25</v>
      </c>
      <c r="H3" s="2" t="s">
        <v>26</v>
      </c>
      <c r="I3" s="2" t="s">
        <v>27</v>
      </c>
      <c r="J3" s="2" t="s">
        <v>21</v>
      </c>
      <c r="K3" s="4" t="s">
        <v>21</v>
      </c>
      <c r="L3" s="2" t="s">
        <v>21</v>
      </c>
      <c r="M3" s="4" t="s">
        <v>21</v>
      </c>
    </row>
    <row r="4" spans="1:13" ht="70.95" customHeight="1" x14ac:dyDescent="0.3">
      <c r="A4" s="4">
        <v>3</v>
      </c>
      <c r="B4" s="3" t="s">
        <v>28</v>
      </c>
      <c r="C4" s="2" t="s">
        <v>14</v>
      </c>
      <c r="D4" s="4" t="s">
        <v>29</v>
      </c>
      <c r="E4" s="3" t="s">
        <v>30</v>
      </c>
      <c r="F4" s="2" t="s">
        <v>21</v>
      </c>
      <c r="G4" s="2" t="s">
        <v>31</v>
      </c>
      <c r="H4" s="2" t="s">
        <v>32</v>
      </c>
      <c r="I4" s="2" t="s">
        <v>33</v>
      </c>
      <c r="J4" s="2" t="s">
        <v>21</v>
      </c>
      <c r="K4" s="4" t="s">
        <v>21</v>
      </c>
      <c r="L4" s="2" t="s">
        <v>21</v>
      </c>
      <c r="M4" s="4" t="s">
        <v>21</v>
      </c>
    </row>
    <row r="5" spans="1:13" ht="57.6" customHeight="1" x14ac:dyDescent="0.3">
      <c r="A5" s="4">
        <v>4</v>
      </c>
      <c r="B5" s="3" t="s">
        <v>34</v>
      </c>
      <c r="C5" s="2" t="s">
        <v>14</v>
      </c>
      <c r="D5" s="4" t="s">
        <v>29</v>
      </c>
      <c r="E5" s="3" t="s">
        <v>35</v>
      </c>
      <c r="F5" s="2" t="s">
        <v>21</v>
      </c>
      <c r="G5" s="2" t="s">
        <v>36</v>
      </c>
      <c r="H5" s="2" t="s">
        <v>37</v>
      </c>
      <c r="I5" s="2" t="s">
        <v>38</v>
      </c>
      <c r="J5" s="2" t="s">
        <v>39</v>
      </c>
      <c r="K5" s="4" t="s">
        <v>21</v>
      </c>
      <c r="L5" s="2" t="s">
        <v>21</v>
      </c>
      <c r="M5" s="4" t="s">
        <v>21</v>
      </c>
    </row>
    <row r="6" spans="1:13" ht="44.25" customHeight="1" x14ac:dyDescent="0.3">
      <c r="A6" s="4">
        <v>5</v>
      </c>
      <c r="B6" s="3" t="s">
        <v>40</v>
      </c>
      <c r="C6" s="2" t="s">
        <v>14</v>
      </c>
      <c r="D6" s="4" t="s">
        <v>15</v>
      </c>
      <c r="E6" s="3" t="s">
        <v>41</v>
      </c>
      <c r="F6" s="2" t="s">
        <v>21</v>
      </c>
      <c r="G6" s="2" t="s">
        <v>42</v>
      </c>
      <c r="H6" s="2" t="s">
        <v>43</v>
      </c>
      <c r="I6" s="2" t="s">
        <v>44</v>
      </c>
      <c r="J6" s="2" t="s">
        <v>21</v>
      </c>
      <c r="K6" s="4" t="s">
        <v>21</v>
      </c>
      <c r="L6" s="2" t="s">
        <v>21</v>
      </c>
      <c r="M6" s="4" t="s">
        <v>21</v>
      </c>
    </row>
    <row r="7" spans="1:13" ht="97.8" customHeight="1" x14ac:dyDescent="0.3">
      <c r="A7" s="4">
        <v>6</v>
      </c>
      <c r="B7" s="3" t="s">
        <v>45</v>
      </c>
      <c r="C7" s="2" t="s">
        <v>14</v>
      </c>
      <c r="D7" s="4" t="s">
        <v>29</v>
      </c>
      <c r="E7" s="3" t="s">
        <v>46</v>
      </c>
      <c r="F7" s="2" t="s">
        <v>47</v>
      </c>
      <c r="G7" s="2" t="s">
        <v>21</v>
      </c>
      <c r="H7" s="2" t="s">
        <v>48</v>
      </c>
      <c r="I7" s="2" t="s">
        <v>49</v>
      </c>
      <c r="J7" s="2" t="s">
        <v>21</v>
      </c>
      <c r="K7" s="4" t="s">
        <v>21</v>
      </c>
      <c r="L7" s="2" t="s">
        <v>21</v>
      </c>
      <c r="M7" s="4" t="s">
        <v>21</v>
      </c>
    </row>
    <row r="8" spans="1:13" ht="70.95" customHeight="1" x14ac:dyDescent="0.3">
      <c r="A8" s="4">
        <v>7</v>
      </c>
      <c r="B8" s="3" t="s">
        <v>50</v>
      </c>
      <c r="C8" s="2" t="s">
        <v>14</v>
      </c>
      <c r="D8" s="4" t="s">
        <v>15</v>
      </c>
      <c r="E8" s="3" t="s">
        <v>51</v>
      </c>
      <c r="F8" s="2" t="s">
        <v>21</v>
      </c>
      <c r="G8" s="2" t="s">
        <v>52</v>
      </c>
      <c r="H8" s="2" t="s">
        <v>53</v>
      </c>
      <c r="I8" s="2" t="s">
        <v>54</v>
      </c>
      <c r="J8" s="2" t="s">
        <v>21</v>
      </c>
      <c r="K8" s="4" t="s">
        <v>21</v>
      </c>
      <c r="L8" s="2" t="s">
        <v>21</v>
      </c>
      <c r="M8" s="4" t="s">
        <v>21</v>
      </c>
    </row>
    <row r="9" spans="1:13" ht="84.45" customHeight="1" x14ac:dyDescent="0.3">
      <c r="A9" s="4">
        <v>8</v>
      </c>
      <c r="B9" s="3" t="s">
        <v>55</v>
      </c>
      <c r="C9" s="2" t="s">
        <v>14</v>
      </c>
      <c r="D9" s="4" t="s">
        <v>29</v>
      </c>
      <c r="E9" s="3" t="s">
        <v>56</v>
      </c>
      <c r="F9" s="2" t="s">
        <v>21</v>
      </c>
      <c r="G9" s="2" t="s">
        <v>57</v>
      </c>
      <c r="H9" s="2" t="s">
        <v>58</v>
      </c>
      <c r="I9" s="2" t="s">
        <v>59</v>
      </c>
      <c r="J9" s="2" t="s">
        <v>21</v>
      </c>
      <c r="K9" s="4" t="s">
        <v>21</v>
      </c>
      <c r="L9" s="2" t="s">
        <v>21</v>
      </c>
      <c r="M9" s="4" t="s">
        <v>21</v>
      </c>
    </row>
    <row r="10" spans="1:13" ht="57.6" customHeight="1" x14ac:dyDescent="0.3">
      <c r="A10" s="4">
        <v>9</v>
      </c>
      <c r="B10" s="3" t="s">
        <v>60</v>
      </c>
      <c r="C10" s="2" t="s">
        <v>61</v>
      </c>
      <c r="D10" s="4" t="s">
        <v>15</v>
      </c>
      <c r="E10" s="3" t="s">
        <v>62</v>
      </c>
      <c r="F10" s="2" t="s">
        <v>21</v>
      </c>
      <c r="G10" s="2" t="s">
        <v>63</v>
      </c>
      <c r="H10" s="2" t="s">
        <v>64</v>
      </c>
      <c r="I10" s="2" t="s">
        <v>65</v>
      </c>
      <c r="J10" s="2" t="s">
        <v>21</v>
      </c>
      <c r="K10" s="4" t="s">
        <v>21</v>
      </c>
      <c r="L10" s="2" t="s">
        <v>21</v>
      </c>
      <c r="M10" s="4" t="s">
        <v>21</v>
      </c>
    </row>
    <row r="11" spans="1:13" ht="57.6" customHeight="1" x14ac:dyDescent="0.3">
      <c r="A11" s="4">
        <v>10</v>
      </c>
      <c r="B11" s="3" t="s">
        <v>66</v>
      </c>
      <c r="C11" s="2" t="s">
        <v>61</v>
      </c>
      <c r="D11" s="4" t="s">
        <v>15</v>
      </c>
      <c r="E11" s="3" t="s">
        <v>67</v>
      </c>
      <c r="F11" s="2" t="s">
        <v>21</v>
      </c>
      <c r="G11" s="2" t="s">
        <v>68</v>
      </c>
      <c r="H11" s="2" t="s">
        <v>69</v>
      </c>
      <c r="I11" s="2" t="s">
        <v>70</v>
      </c>
      <c r="J11" s="2" t="s">
        <v>21</v>
      </c>
      <c r="K11" s="4" t="s">
        <v>21</v>
      </c>
      <c r="L11" s="2" t="s">
        <v>21</v>
      </c>
      <c r="M11" s="4" t="s">
        <v>21</v>
      </c>
    </row>
    <row r="12" spans="1:13" ht="44.25" customHeight="1" x14ac:dyDescent="0.3">
      <c r="A12" s="4">
        <v>11</v>
      </c>
      <c r="B12" s="3" t="s">
        <v>71</v>
      </c>
      <c r="C12" s="2" t="s">
        <v>61</v>
      </c>
      <c r="D12" s="4" t="s">
        <v>29</v>
      </c>
      <c r="E12" s="3" t="s">
        <v>72</v>
      </c>
      <c r="F12" s="2" t="s">
        <v>21</v>
      </c>
      <c r="G12" s="2" t="s">
        <v>73</v>
      </c>
      <c r="H12" s="2" t="s">
        <v>74</v>
      </c>
      <c r="I12" s="2" t="s">
        <v>75</v>
      </c>
      <c r="J12" s="2" t="s">
        <v>21</v>
      </c>
      <c r="K12" s="4" t="s">
        <v>21</v>
      </c>
      <c r="L12" s="2" t="s">
        <v>21</v>
      </c>
      <c r="M12" s="4" t="s">
        <v>21</v>
      </c>
    </row>
    <row r="13" spans="1:13" ht="44.25" customHeight="1" x14ac:dyDescent="0.3">
      <c r="A13" s="4">
        <v>12</v>
      </c>
      <c r="B13" s="3" t="s">
        <v>76</v>
      </c>
      <c r="C13" s="2" t="s">
        <v>61</v>
      </c>
      <c r="D13" s="4" t="s">
        <v>29</v>
      </c>
      <c r="E13" s="3" t="s">
        <v>77</v>
      </c>
      <c r="F13" s="2" t="s">
        <v>21</v>
      </c>
      <c r="G13" s="2" t="s">
        <v>78</v>
      </c>
      <c r="H13" s="2" t="s">
        <v>79</v>
      </c>
      <c r="I13" s="2" t="s">
        <v>80</v>
      </c>
      <c r="J13" s="2" t="s">
        <v>21</v>
      </c>
      <c r="K13" s="4" t="s">
        <v>21</v>
      </c>
      <c r="L13" s="2" t="s">
        <v>21</v>
      </c>
      <c r="M13" s="4" t="s">
        <v>21</v>
      </c>
    </row>
    <row r="14" spans="1:13" ht="44.25" customHeight="1" x14ac:dyDescent="0.3">
      <c r="A14" s="4">
        <v>13</v>
      </c>
      <c r="B14" s="3" t="s">
        <v>81</v>
      </c>
      <c r="C14" s="2" t="s">
        <v>61</v>
      </c>
      <c r="D14" s="4" t="s">
        <v>29</v>
      </c>
      <c r="E14" s="3" t="s">
        <v>82</v>
      </c>
      <c r="F14" s="2" t="s">
        <v>21</v>
      </c>
      <c r="G14" s="2" t="s">
        <v>83</v>
      </c>
      <c r="H14" s="2" t="s">
        <v>84</v>
      </c>
      <c r="I14" s="2" t="s">
        <v>85</v>
      </c>
      <c r="J14" s="2" t="s">
        <v>21</v>
      </c>
      <c r="K14" s="4" t="s">
        <v>21</v>
      </c>
      <c r="L14" s="2" t="s">
        <v>21</v>
      </c>
      <c r="M14" s="4" t="s">
        <v>21</v>
      </c>
    </row>
    <row r="15" spans="1:13" ht="30.75" customHeight="1" x14ac:dyDescent="0.3">
      <c r="A15" s="4">
        <v>14</v>
      </c>
      <c r="B15" s="3" t="s">
        <v>86</v>
      </c>
      <c r="C15" s="2" t="s">
        <v>61</v>
      </c>
      <c r="D15" s="4" t="s">
        <v>23</v>
      </c>
      <c r="E15" s="3" t="s">
        <v>87</v>
      </c>
      <c r="F15" s="2" t="s">
        <v>21</v>
      </c>
      <c r="G15" s="2" t="s">
        <v>88</v>
      </c>
      <c r="H15" s="2" t="s">
        <v>89</v>
      </c>
      <c r="I15" s="2" t="s">
        <v>90</v>
      </c>
      <c r="J15" s="2" t="s">
        <v>21</v>
      </c>
      <c r="K15" s="4" t="s">
        <v>21</v>
      </c>
      <c r="L15" s="2" t="s">
        <v>21</v>
      </c>
      <c r="M15" s="4" t="s">
        <v>21</v>
      </c>
    </row>
    <row r="16" spans="1:13" ht="70.95" customHeight="1" x14ac:dyDescent="0.3">
      <c r="A16" s="4">
        <v>15</v>
      </c>
      <c r="B16" s="3" t="s">
        <v>91</v>
      </c>
      <c r="C16" s="2" t="s">
        <v>61</v>
      </c>
      <c r="D16" s="4" t="s">
        <v>29</v>
      </c>
      <c r="E16" s="3" t="s">
        <v>92</v>
      </c>
      <c r="F16" s="2" t="s">
        <v>21</v>
      </c>
      <c r="G16" s="2" t="s">
        <v>93</v>
      </c>
      <c r="H16" s="2" t="s">
        <v>94</v>
      </c>
      <c r="I16" s="2" t="s">
        <v>95</v>
      </c>
      <c r="J16" s="2" t="s">
        <v>21</v>
      </c>
      <c r="K16" s="4" t="s">
        <v>21</v>
      </c>
      <c r="L16" s="2" t="s">
        <v>21</v>
      </c>
      <c r="M16" s="4" t="s">
        <v>21</v>
      </c>
    </row>
    <row r="17" spans="1:13" ht="30.75" customHeight="1" x14ac:dyDescent="0.3">
      <c r="A17" s="4">
        <v>16</v>
      </c>
      <c r="B17" s="3" t="s">
        <v>96</v>
      </c>
      <c r="C17" s="2" t="s">
        <v>61</v>
      </c>
      <c r="D17" s="4" t="s">
        <v>23</v>
      </c>
      <c r="E17" s="3" t="s">
        <v>97</v>
      </c>
      <c r="F17" s="2" t="s">
        <v>21</v>
      </c>
      <c r="G17" s="2" t="s">
        <v>98</v>
      </c>
      <c r="H17" s="2" t="s">
        <v>99</v>
      </c>
      <c r="I17" s="2" t="s">
        <v>21</v>
      </c>
      <c r="J17" s="2" t="s">
        <v>21</v>
      </c>
      <c r="K17" s="4" t="s">
        <v>21</v>
      </c>
      <c r="L17" s="2" t="s">
        <v>21</v>
      </c>
      <c r="M17" s="4" t="s">
        <v>21</v>
      </c>
    </row>
    <row r="18" spans="1:13" ht="30.75" customHeight="1" x14ac:dyDescent="0.3">
      <c r="A18" s="4">
        <v>17</v>
      </c>
      <c r="B18" s="3" t="s">
        <v>100</v>
      </c>
      <c r="C18" s="2" t="s">
        <v>61</v>
      </c>
      <c r="D18" s="4" t="s">
        <v>23</v>
      </c>
      <c r="E18" s="3" t="s">
        <v>101</v>
      </c>
      <c r="F18" s="2" t="s">
        <v>21</v>
      </c>
      <c r="G18" s="2" t="s">
        <v>102</v>
      </c>
      <c r="H18" s="2" t="s">
        <v>103</v>
      </c>
      <c r="I18" s="2" t="s">
        <v>104</v>
      </c>
      <c r="J18" s="2" t="s">
        <v>21</v>
      </c>
      <c r="K18" s="4" t="s">
        <v>21</v>
      </c>
      <c r="L18" s="2" t="s">
        <v>21</v>
      </c>
      <c r="M18" s="4" t="s">
        <v>21</v>
      </c>
    </row>
    <row r="19" spans="1:13" ht="30.75" customHeight="1" x14ac:dyDescent="0.3">
      <c r="A19" s="4">
        <v>18</v>
      </c>
      <c r="B19" s="3" t="s">
        <v>105</v>
      </c>
      <c r="C19" s="2" t="s">
        <v>61</v>
      </c>
      <c r="D19" s="4" t="s">
        <v>29</v>
      </c>
      <c r="E19" s="3" t="s">
        <v>106</v>
      </c>
      <c r="F19" s="2" t="s">
        <v>21</v>
      </c>
      <c r="G19" s="2" t="s">
        <v>107</v>
      </c>
      <c r="H19" s="2" t="s">
        <v>108</v>
      </c>
      <c r="I19" s="2" t="s">
        <v>109</v>
      </c>
      <c r="J19" s="2" t="s">
        <v>21</v>
      </c>
      <c r="K19" s="4" t="s">
        <v>21</v>
      </c>
      <c r="L19" s="2" t="s">
        <v>21</v>
      </c>
      <c r="M19" s="4" t="s">
        <v>21</v>
      </c>
    </row>
    <row r="20" spans="1:13" ht="30.75" customHeight="1" x14ac:dyDescent="0.3">
      <c r="A20" s="4">
        <v>19</v>
      </c>
      <c r="B20" s="3" t="s">
        <v>110</v>
      </c>
      <c r="C20" s="2" t="s">
        <v>111</v>
      </c>
      <c r="D20" s="4" t="s">
        <v>29</v>
      </c>
      <c r="E20" s="3" t="s">
        <v>112</v>
      </c>
      <c r="F20" s="2" t="s">
        <v>21</v>
      </c>
      <c r="G20" s="2" t="s">
        <v>113</v>
      </c>
      <c r="H20" s="2" t="s">
        <v>114</v>
      </c>
      <c r="I20" s="2" t="s">
        <v>21</v>
      </c>
      <c r="J20" s="2" t="s">
        <v>21</v>
      </c>
      <c r="K20" s="4" t="s">
        <v>21</v>
      </c>
      <c r="L20" s="2" t="s">
        <v>21</v>
      </c>
      <c r="M20" s="4" t="s">
        <v>21</v>
      </c>
    </row>
    <row r="21" spans="1:13" ht="44.25" customHeight="1" x14ac:dyDescent="0.3">
      <c r="A21" s="4">
        <v>20</v>
      </c>
      <c r="B21" s="3" t="s">
        <v>115</v>
      </c>
      <c r="C21" s="2" t="s">
        <v>111</v>
      </c>
      <c r="D21" s="4" t="s">
        <v>29</v>
      </c>
      <c r="E21" s="3" t="s">
        <v>116</v>
      </c>
      <c r="F21" s="2" t="s">
        <v>21</v>
      </c>
      <c r="G21" s="2" t="s">
        <v>117</v>
      </c>
      <c r="H21" s="2" t="s">
        <v>118</v>
      </c>
      <c r="I21" s="2" t="s">
        <v>119</v>
      </c>
      <c r="J21" s="2" t="s">
        <v>21</v>
      </c>
      <c r="K21" s="4" t="s">
        <v>21</v>
      </c>
      <c r="L21" s="2" t="s">
        <v>21</v>
      </c>
      <c r="M21" s="4" t="s">
        <v>21</v>
      </c>
    </row>
    <row r="22" spans="1:13" ht="44.25" customHeight="1" x14ac:dyDescent="0.3">
      <c r="A22" s="4">
        <v>21</v>
      </c>
      <c r="B22" s="3" t="s">
        <v>120</v>
      </c>
      <c r="C22" s="2" t="s">
        <v>111</v>
      </c>
      <c r="D22" s="4" t="s">
        <v>29</v>
      </c>
      <c r="E22" s="3" t="s">
        <v>121</v>
      </c>
      <c r="F22" s="2" t="s">
        <v>21</v>
      </c>
      <c r="G22" s="2" t="s">
        <v>122</v>
      </c>
      <c r="H22" s="2" t="s">
        <v>123</v>
      </c>
      <c r="I22" s="2" t="s">
        <v>124</v>
      </c>
      <c r="J22" s="2" t="s">
        <v>21</v>
      </c>
      <c r="K22" s="4" t="s">
        <v>21</v>
      </c>
      <c r="L22" s="2" t="s">
        <v>21</v>
      </c>
      <c r="M22" s="4" t="s">
        <v>21</v>
      </c>
    </row>
    <row r="23" spans="1:13" ht="17.399999999999999" customHeight="1" x14ac:dyDescent="0.3">
      <c r="A23" s="4">
        <v>22</v>
      </c>
      <c r="B23" s="3" t="s">
        <v>125</v>
      </c>
      <c r="C23" s="2" t="s">
        <v>111</v>
      </c>
      <c r="D23" s="4" t="s">
        <v>23</v>
      </c>
      <c r="E23" s="3" t="s">
        <v>126</v>
      </c>
      <c r="F23" s="2" t="s">
        <v>21</v>
      </c>
      <c r="G23" s="2" t="s">
        <v>127</v>
      </c>
      <c r="H23" s="2" t="s">
        <v>128</v>
      </c>
      <c r="I23" s="2" t="s">
        <v>21</v>
      </c>
      <c r="J23" s="2" t="s">
        <v>21</v>
      </c>
      <c r="K23" s="4" t="s">
        <v>21</v>
      </c>
      <c r="L23" s="2" t="s">
        <v>21</v>
      </c>
      <c r="M23" s="4" t="s">
        <v>21</v>
      </c>
    </row>
    <row r="24" spans="1:13" ht="30.75" customHeight="1" x14ac:dyDescent="0.3">
      <c r="A24" s="4">
        <v>23</v>
      </c>
      <c r="B24" s="3" t="s">
        <v>129</v>
      </c>
      <c r="C24" s="2" t="s">
        <v>111</v>
      </c>
      <c r="D24" s="4" t="s">
        <v>29</v>
      </c>
      <c r="E24" s="3" t="s">
        <v>130</v>
      </c>
      <c r="F24" s="2" t="s">
        <v>21</v>
      </c>
      <c r="G24" s="2" t="s">
        <v>131</v>
      </c>
      <c r="H24" s="2" t="s">
        <v>132</v>
      </c>
      <c r="I24" s="2" t="s">
        <v>133</v>
      </c>
      <c r="J24" s="2" t="s">
        <v>21</v>
      </c>
      <c r="K24" s="4" t="s">
        <v>21</v>
      </c>
      <c r="L24" s="2" t="s">
        <v>21</v>
      </c>
      <c r="M24" s="4" t="s">
        <v>21</v>
      </c>
    </row>
    <row r="25" spans="1:13" ht="70.95" customHeight="1" x14ac:dyDescent="0.3">
      <c r="A25" s="4">
        <v>24</v>
      </c>
      <c r="B25" s="3" t="s">
        <v>134</v>
      </c>
      <c r="C25" s="2" t="s">
        <v>111</v>
      </c>
      <c r="D25" s="4" t="s">
        <v>29</v>
      </c>
      <c r="E25" s="3" t="s">
        <v>135</v>
      </c>
      <c r="F25" s="2" t="s">
        <v>21</v>
      </c>
      <c r="G25" s="2" t="s">
        <v>136</v>
      </c>
      <c r="H25" s="2" t="s">
        <v>137</v>
      </c>
      <c r="I25" s="2" t="s">
        <v>138</v>
      </c>
      <c r="J25" s="2" t="s">
        <v>21</v>
      </c>
      <c r="K25" s="4" t="s">
        <v>21</v>
      </c>
      <c r="L25" s="2" t="s">
        <v>21</v>
      </c>
      <c r="M25" s="4" t="s">
        <v>21</v>
      </c>
    </row>
    <row r="26" spans="1:13" ht="57.6" customHeight="1" x14ac:dyDescent="0.3">
      <c r="A26" s="4">
        <v>25</v>
      </c>
      <c r="B26" s="3" t="s">
        <v>139</v>
      </c>
      <c r="C26" s="2" t="s">
        <v>111</v>
      </c>
      <c r="D26" s="4" t="s">
        <v>29</v>
      </c>
      <c r="E26" s="3" t="s">
        <v>140</v>
      </c>
      <c r="F26" s="2" t="s">
        <v>21</v>
      </c>
      <c r="G26" s="2" t="s">
        <v>141</v>
      </c>
      <c r="H26" s="2" t="s">
        <v>142</v>
      </c>
      <c r="I26" s="2" t="s">
        <v>143</v>
      </c>
      <c r="J26" s="2" t="s">
        <v>21</v>
      </c>
      <c r="K26" s="4" t="s">
        <v>21</v>
      </c>
      <c r="L26" s="2" t="s">
        <v>21</v>
      </c>
      <c r="M26" s="4" t="s">
        <v>21</v>
      </c>
    </row>
    <row r="27" spans="1:13" ht="44.25" customHeight="1" x14ac:dyDescent="0.3">
      <c r="A27" s="4">
        <v>26</v>
      </c>
      <c r="B27" s="3" t="s">
        <v>144</v>
      </c>
      <c r="C27" s="2" t="s">
        <v>111</v>
      </c>
      <c r="D27" s="4" t="s">
        <v>29</v>
      </c>
      <c r="E27" s="3" t="s">
        <v>145</v>
      </c>
      <c r="F27" s="2" t="s">
        <v>21</v>
      </c>
      <c r="G27" s="2" t="s">
        <v>146</v>
      </c>
      <c r="H27" s="2" t="s">
        <v>147</v>
      </c>
      <c r="I27" s="2" t="s">
        <v>148</v>
      </c>
      <c r="J27" s="2" t="s">
        <v>21</v>
      </c>
      <c r="K27" s="4" t="s">
        <v>21</v>
      </c>
      <c r="L27" s="2" t="s">
        <v>21</v>
      </c>
      <c r="M27" s="4" t="s">
        <v>21</v>
      </c>
    </row>
    <row r="28" spans="1:13" ht="44.25" customHeight="1" x14ac:dyDescent="0.3">
      <c r="A28" s="4">
        <v>27</v>
      </c>
      <c r="B28" s="3" t="s">
        <v>149</v>
      </c>
      <c r="C28" s="2" t="s">
        <v>111</v>
      </c>
      <c r="D28" s="4" t="s">
        <v>29</v>
      </c>
      <c r="E28" s="3" t="s">
        <v>150</v>
      </c>
      <c r="F28" s="2" t="s">
        <v>21</v>
      </c>
      <c r="G28" s="2" t="s">
        <v>151</v>
      </c>
      <c r="H28" s="2" t="s">
        <v>152</v>
      </c>
      <c r="I28" s="2" t="s">
        <v>153</v>
      </c>
      <c r="J28" s="2" t="s">
        <v>21</v>
      </c>
      <c r="K28" s="4" t="s">
        <v>21</v>
      </c>
      <c r="L28" s="2" t="s">
        <v>21</v>
      </c>
      <c r="M28" s="4" t="s">
        <v>21</v>
      </c>
    </row>
    <row r="29" spans="1:13" ht="30.75" customHeight="1" x14ac:dyDescent="0.3">
      <c r="A29" s="4">
        <v>28</v>
      </c>
      <c r="B29" s="3" t="s">
        <v>154</v>
      </c>
      <c r="C29" s="2" t="s">
        <v>155</v>
      </c>
      <c r="D29" s="4" t="s">
        <v>29</v>
      </c>
      <c r="E29" s="3" t="s">
        <v>156</v>
      </c>
      <c r="F29" s="2" t="s">
        <v>157</v>
      </c>
      <c r="G29" s="2" t="s">
        <v>158</v>
      </c>
      <c r="H29" s="2" t="s">
        <v>159</v>
      </c>
      <c r="I29" s="2" t="s">
        <v>160</v>
      </c>
      <c r="J29" s="2" t="s">
        <v>21</v>
      </c>
      <c r="K29" s="4" t="s">
        <v>21</v>
      </c>
      <c r="L29" s="2" t="s">
        <v>21</v>
      </c>
      <c r="M29" s="4" t="s">
        <v>21</v>
      </c>
    </row>
    <row r="30" spans="1:13" ht="30.75" customHeight="1" x14ac:dyDescent="0.3">
      <c r="A30" s="4">
        <v>29</v>
      </c>
      <c r="B30" s="3" t="s">
        <v>161</v>
      </c>
      <c r="C30" s="2" t="s">
        <v>155</v>
      </c>
      <c r="D30" s="4" t="s">
        <v>23</v>
      </c>
      <c r="E30" s="3" t="s">
        <v>162</v>
      </c>
      <c r="F30" s="2" t="s">
        <v>21</v>
      </c>
      <c r="G30" s="2" t="s">
        <v>21</v>
      </c>
      <c r="H30" s="2" t="s">
        <v>163</v>
      </c>
      <c r="I30" s="2" t="s">
        <v>21</v>
      </c>
      <c r="J30" s="2" t="s">
        <v>21</v>
      </c>
      <c r="K30" s="4" t="s">
        <v>21</v>
      </c>
      <c r="L30" s="2" t="s">
        <v>21</v>
      </c>
      <c r="M30" s="4" t="s">
        <v>21</v>
      </c>
    </row>
    <row r="31" spans="1:13" ht="57.6" customHeight="1" x14ac:dyDescent="0.3">
      <c r="A31" s="4">
        <v>30</v>
      </c>
      <c r="B31" s="3" t="s">
        <v>164</v>
      </c>
      <c r="C31" s="2" t="s">
        <v>155</v>
      </c>
      <c r="D31" s="4" t="s">
        <v>15</v>
      </c>
      <c r="E31" s="3" t="s">
        <v>165</v>
      </c>
      <c r="F31" s="2" t="s">
        <v>21</v>
      </c>
      <c r="G31" s="2" t="s">
        <v>166</v>
      </c>
      <c r="H31" s="2" t="s">
        <v>167</v>
      </c>
      <c r="I31" s="2" t="s">
        <v>168</v>
      </c>
      <c r="J31" s="2" t="s">
        <v>21</v>
      </c>
      <c r="K31" s="4" t="s">
        <v>21</v>
      </c>
      <c r="L31" s="2" t="s">
        <v>21</v>
      </c>
      <c r="M31" s="4" t="s">
        <v>21</v>
      </c>
    </row>
    <row r="32" spans="1:13" ht="30.75" customHeight="1" x14ac:dyDescent="0.3">
      <c r="A32" s="4">
        <v>31</v>
      </c>
      <c r="B32" s="3" t="s">
        <v>169</v>
      </c>
      <c r="C32" s="2" t="s">
        <v>155</v>
      </c>
      <c r="D32" s="4" t="s">
        <v>29</v>
      </c>
      <c r="E32" s="3" t="s">
        <v>170</v>
      </c>
      <c r="F32" s="2" t="s">
        <v>21</v>
      </c>
      <c r="G32" s="2" t="s">
        <v>171</v>
      </c>
      <c r="H32" s="2" t="s">
        <v>172</v>
      </c>
      <c r="I32" s="2" t="s">
        <v>173</v>
      </c>
      <c r="J32" s="2" t="s">
        <v>21</v>
      </c>
      <c r="K32" s="4" t="s">
        <v>21</v>
      </c>
      <c r="L32" s="2" t="s">
        <v>21</v>
      </c>
      <c r="M32" s="4" t="s">
        <v>21</v>
      </c>
    </row>
    <row r="33" spans="1:13" ht="151.35" customHeight="1" x14ac:dyDescent="0.3">
      <c r="A33" s="4">
        <v>32</v>
      </c>
      <c r="B33" s="3" t="s">
        <v>174</v>
      </c>
      <c r="C33" s="2" t="s">
        <v>155</v>
      </c>
      <c r="D33" s="4" t="s">
        <v>29</v>
      </c>
      <c r="E33" s="3" t="s">
        <v>175</v>
      </c>
      <c r="F33" s="2" t="s">
        <v>21</v>
      </c>
      <c r="G33" s="2" t="s">
        <v>176</v>
      </c>
      <c r="H33" s="2" t="s">
        <v>177</v>
      </c>
      <c r="I33" s="2" t="s">
        <v>178</v>
      </c>
      <c r="J33" s="2" t="s">
        <v>179</v>
      </c>
      <c r="K33" s="4" t="s">
        <v>21</v>
      </c>
      <c r="L33" s="2" t="s">
        <v>21</v>
      </c>
      <c r="M33" s="4" t="s">
        <v>21</v>
      </c>
    </row>
    <row r="34" spans="1:13" ht="30.75" customHeight="1" x14ac:dyDescent="0.3">
      <c r="A34" s="4">
        <v>33</v>
      </c>
      <c r="B34" s="3" t="s">
        <v>180</v>
      </c>
      <c r="C34" s="2" t="s">
        <v>155</v>
      </c>
      <c r="D34" s="4" t="s">
        <v>23</v>
      </c>
      <c r="E34" s="3" t="s">
        <v>181</v>
      </c>
      <c r="F34" s="2" t="s">
        <v>21</v>
      </c>
      <c r="G34" s="2" t="s">
        <v>182</v>
      </c>
      <c r="H34" s="2" t="s">
        <v>183</v>
      </c>
      <c r="I34" s="2" t="s">
        <v>184</v>
      </c>
      <c r="J34" s="2" t="s">
        <v>21</v>
      </c>
      <c r="K34" s="4" t="s">
        <v>21</v>
      </c>
      <c r="L34" s="2" t="s">
        <v>21</v>
      </c>
      <c r="M34" s="4" t="s">
        <v>21</v>
      </c>
    </row>
    <row r="35" spans="1:13" ht="17.399999999999999" customHeight="1" x14ac:dyDescent="0.3">
      <c r="A35" s="4">
        <v>34</v>
      </c>
      <c r="B35" s="3" t="s">
        <v>185</v>
      </c>
      <c r="C35" s="2" t="s">
        <v>155</v>
      </c>
      <c r="D35" s="4" t="s">
        <v>29</v>
      </c>
      <c r="E35" s="3" t="s">
        <v>186</v>
      </c>
      <c r="F35" s="2" t="s">
        <v>21</v>
      </c>
      <c r="G35" s="2" t="s">
        <v>187</v>
      </c>
      <c r="H35" s="2" t="s">
        <v>188</v>
      </c>
      <c r="I35" s="2" t="s">
        <v>21</v>
      </c>
      <c r="J35" s="2" t="s">
        <v>21</v>
      </c>
      <c r="K35" s="4" t="s">
        <v>21</v>
      </c>
      <c r="L35" s="2" t="s">
        <v>21</v>
      </c>
      <c r="M35" s="4" t="s">
        <v>21</v>
      </c>
    </row>
    <row r="36" spans="1:13" ht="70.95" customHeight="1" x14ac:dyDescent="0.3">
      <c r="A36" s="4">
        <v>35</v>
      </c>
      <c r="B36" s="3" t="s">
        <v>189</v>
      </c>
      <c r="C36" s="2" t="s">
        <v>155</v>
      </c>
      <c r="D36" s="4" t="s">
        <v>23</v>
      </c>
      <c r="E36" s="3" t="s">
        <v>190</v>
      </c>
      <c r="F36" s="2" t="s">
        <v>21</v>
      </c>
      <c r="G36" s="2" t="s">
        <v>21</v>
      </c>
      <c r="H36" s="2" t="s">
        <v>191</v>
      </c>
      <c r="I36" s="2" t="s">
        <v>21</v>
      </c>
      <c r="J36" s="2" t="s">
        <v>192</v>
      </c>
      <c r="K36" s="4" t="s">
        <v>21</v>
      </c>
      <c r="L36" s="2" t="s">
        <v>21</v>
      </c>
      <c r="M36" s="4" t="s">
        <v>21</v>
      </c>
    </row>
    <row r="37" spans="1:13" ht="30.75" customHeight="1" x14ac:dyDescent="0.3">
      <c r="A37" s="4">
        <v>36</v>
      </c>
      <c r="B37" s="3" t="s">
        <v>193</v>
      </c>
      <c r="C37" s="2" t="s">
        <v>194</v>
      </c>
      <c r="D37" s="4" t="s">
        <v>29</v>
      </c>
      <c r="E37" s="3" t="s">
        <v>195</v>
      </c>
      <c r="F37" s="2" t="s">
        <v>21</v>
      </c>
      <c r="G37" s="2" t="s">
        <v>196</v>
      </c>
      <c r="H37" s="2" t="s">
        <v>197</v>
      </c>
      <c r="I37" s="2" t="s">
        <v>198</v>
      </c>
      <c r="J37" s="2" t="s">
        <v>21</v>
      </c>
      <c r="K37" s="4" t="s">
        <v>21</v>
      </c>
      <c r="L37" s="2" t="s">
        <v>21</v>
      </c>
      <c r="M37" s="4" t="s">
        <v>21</v>
      </c>
    </row>
    <row r="38" spans="1:13" ht="30.75" customHeight="1" x14ac:dyDescent="0.3">
      <c r="A38" s="4">
        <v>37</v>
      </c>
      <c r="B38" s="3" t="s">
        <v>199</v>
      </c>
      <c r="C38" s="2" t="s">
        <v>194</v>
      </c>
      <c r="D38" s="4" t="s">
        <v>29</v>
      </c>
      <c r="E38" s="3" t="s">
        <v>200</v>
      </c>
      <c r="F38" s="2" t="s">
        <v>21</v>
      </c>
      <c r="G38" s="2" t="s">
        <v>201</v>
      </c>
      <c r="H38" s="2" t="s">
        <v>202</v>
      </c>
      <c r="I38" s="2" t="s">
        <v>21</v>
      </c>
      <c r="J38" s="2" t="s">
        <v>21</v>
      </c>
      <c r="K38" s="4" t="s">
        <v>21</v>
      </c>
      <c r="L38" s="2" t="s">
        <v>21</v>
      </c>
      <c r="M38" s="4" t="s">
        <v>21</v>
      </c>
    </row>
    <row r="39" spans="1:13" ht="44.25" customHeight="1" x14ac:dyDescent="0.3">
      <c r="A39" s="4">
        <v>38</v>
      </c>
      <c r="B39" s="3" t="s">
        <v>203</v>
      </c>
      <c r="C39" s="2" t="s">
        <v>194</v>
      </c>
      <c r="D39" s="4" t="s">
        <v>29</v>
      </c>
      <c r="E39" s="3" t="s">
        <v>204</v>
      </c>
      <c r="F39" s="2" t="s">
        <v>21</v>
      </c>
      <c r="G39" s="2" t="s">
        <v>205</v>
      </c>
      <c r="H39" s="2" t="s">
        <v>206</v>
      </c>
      <c r="I39" s="2" t="s">
        <v>207</v>
      </c>
      <c r="J39" s="2" t="s">
        <v>21</v>
      </c>
      <c r="K39" s="4" t="s">
        <v>21</v>
      </c>
      <c r="L39" s="2" t="s">
        <v>21</v>
      </c>
      <c r="M39" s="4" t="s">
        <v>21</v>
      </c>
    </row>
    <row r="40" spans="1:13" ht="30.75" customHeight="1" x14ac:dyDescent="0.3">
      <c r="A40" s="4">
        <v>39</v>
      </c>
      <c r="B40" s="3" t="s">
        <v>208</v>
      </c>
      <c r="C40" s="2" t="s">
        <v>194</v>
      </c>
      <c r="D40" s="4" t="s">
        <v>23</v>
      </c>
      <c r="E40" s="3" t="s">
        <v>209</v>
      </c>
      <c r="F40" s="2" t="s">
        <v>21</v>
      </c>
      <c r="G40" s="2" t="s">
        <v>210</v>
      </c>
      <c r="H40" s="2" t="s">
        <v>211</v>
      </c>
      <c r="I40" s="2" t="s">
        <v>21</v>
      </c>
      <c r="J40" s="2" t="s">
        <v>21</v>
      </c>
      <c r="K40" s="4" t="s">
        <v>21</v>
      </c>
      <c r="L40" s="2" t="s">
        <v>21</v>
      </c>
      <c r="M40" s="4" t="s">
        <v>21</v>
      </c>
    </row>
    <row r="41" spans="1:13" ht="57.6" customHeight="1" x14ac:dyDescent="0.3">
      <c r="A41" s="4">
        <v>40</v>
      </c>
      <c r="B41" s="3" t="s">
        <v>212</v>
      </c>
      <c r="C41" s="2" t="s">
        <v>194</v>
      </c>
      <c r="D41" s="4" t="s">
        <v>29</v>
      </c>
      <c r="E41" s="3" t="s">
        <v>213</v>
      </c>
      <c r="F41" s="2" t="s">
        <v>21</v>
      </c>
      <c r="G41" s="2" t="s">
        <v>214</v>
      </c>
      <c r="H41" s="2" t="s">
        <v>215</v>
      </c>
      <c r="I41" s="2" t="s">
        <v>216</v>
      </c>
      <c r="J41" s="2" t="s">
        <v>21</v>
      </c>
      <c r="K41" s="4" t="s">
        <v>21</v>
      </c>
      <c r="L41" s="2" t="s">
        <v>21</v>
      </c>
      <c r="M41" s="4" t="s">
        <v>21</v>
      </c>
    </row>
    <row r="42" spans="1:13" ht="30.75" customHeight="1" x14ac:dyDescent="0.3">
      <c r="A42" s="4">
        <v>41</v>
      </c>
      <c r="B42" s="3" t="s">
        <v>217</v>
      </c>
      <c r="C42" s="2" t="s">
        <v>194</v>
      </c>
      <c r="D42" s="4" t="s">
        <v>23</v>
      </c>
      <c r="E42" s="3" t="s">
        <v>218</v>
      </c>
      <c r="F42" s="2" t="s">
        <v>21</v>
      </c>
      <c r="G42" s="2" t="s">
        <v>219</v>
      </c>
      <c r="H42" s="2" t="s">
        <v>220</v>
      </c>
      <c r="I42" s="2" t="s">
        <v>21</v>
      </c>
      <c r="J42" s="2" t="s">
        <v>21</v>
      </c>
      <c r="K42" s="4" t="s">
        <v>21</v>
      </c>
      <c r="L42" s="2" t="s">
        <v>21</v>
      </c>
      <c r="M42" s="4" t="s">
        <v>21</v>
      </c>
    </row>
    <row r="43" spans="1:13" ht="57.6" customHeight="1" x14ac:dyDescent="0.3">
      <c r="A43" s="4">
        <v>42</v>
      </c>
      <c r="B43" s="3" t="s">
        <v>221</v>
      </c>
      <c r="C43" s="2" t="s">
        <v>222</v>
      </c>
      <c r="D43" s="4" t="s">
        <v>29</v>
      </c>
      <c r="E43" s="3" t="s">
        <v>223</v>
      </c>
      <c r="F43" s="2" t="s">
        <v>21</v>
      </c>
      <c r="G43" s="2" t="s">
        <v>224</v>
      </c>
      <c r="H43" s="2" t="s">
        <v>225</v>
      </c>
      <c r="I43" s="2" t="s">
        <v>226</v>
      </c>
      <c r="J43" s="2" t="s">
        <v>21</v>
      </c>
      <c r="K43" s="4" t="s">
        <v>21</v>
      </c>
      <c r="L43" s="2" t="s">
        <v>21</v>
      </c>
      <c r="M43" s="4" t="s">
        <v>21</v>
      </c>
    </row>
    <row r="44" spans="1:13" ht="30.75" customHeight="1" x14ac:dyDescent="0.3">
      <c r="A44" s="4">
        <v>43</v>
      </c>
      <c r="B44" s="3" t="s">
        <v>227</v>
      </c>
      <c r="C44" s="2" t="s">
        <v>222</v>
      </c>
      <c r="D44" s="4" t="s">
        <v>29</v>
      </c>
      <c r="E44" s="3" t="s">
        <v>228</v>
      </c>
      <c r="F44" s="2" t="s">
        <v>21</v>
      </c>
      <c r="G44" s="2" t="s">
        <v>229</v>
      </c>
      <c r="H44" s="2" t="s">
        <v>230</v>
      </c>
      <c r="I44" s="2" t="s">
        <v>231</v>
      </c>
      <c r="J44" s="2" t="s">
        <v>21</v>
      </c>
      <c r="K44" s="4" t="s">
        <v>21</v>
      </c>
      <c r="L44" s="2" t="s">
        <v>21</v>
      </c>
      <c r="M44" s="4" t="s">
        <v>21</v>
      </c>
    </row>
    <row r="45" spans="1:13" ht="97.8" customHeight="1" x14ac:dyDescent="0.3">
      <c r="A45" s="4">
        <v>44</v>
      </c>
      <c r="B45" s="3" t="s">
        <v>232</v>
      </c>
      <c r="C45" s="2" t="s">
        <v>222</v>
      </c>
      <c r="D45" s="4" t="s">
        <v>29</v>
      </c>
      <c r="E45" s="3" t="s">
        <v>233</v>
      </c>
      <c r="F45" s="2" t="s">
        <v>21</v>
      </c>
      <c r="G45" s="2" t="s">
        <v>234</v>
      </c>
      <c r="H45" s="2" t="s">
        <v>235</v>
      </c>
      <c r="I45" s="2" t="s">
        <v>236</v>
      </c>
      <c r="J45" s="2" t="s">
        <v>237</v>
      </c>
      <c r="K45" s="4" t="s">
        <v>21</v>
      </c>
      <c r="L45" s="2" t="s">
        <v>21</v>
      </c>
      <c r="M45" s="4" t="s">
        <v>21</v>
      </c>
    </row>
    <row r="46" spans="1:13" ht="84.45" customHeight="1" x14ac:dyDescent="0.3">
      <c r="A46" s="4">
        <v>45</v>
      </c>
      <c r="B46" s="3" t="s">
        <v>238</v>
      </c>
      <c r="C46" s="2" t="s">
        <v>222</v>
      </c>
      <c r="D46" s="4" t="s">
        <v>29</v>
      </c>
      <c r="E46" s="3" t="s">
        <v>239</v>
      </c>
      <c r="F46" s="2" t="s">
        <v>21</v>
      </c>
      <c r="G46" s="2" t="s">
        <v>240</v>
      </c>
      <c r="H46" s="2" t="s">
        <v>241</v>
      </c>
      <c r="I46" s="2" t="s">
        <v>242</v>
      </c>
      <c r="J46" s="2" t="s">
        <v>243</v>
      </c>
      <c r="K46" s="4" t="s">
        <v>21</v>
      </c>
      <c r="L46" s="2" t="s">
        <v>21</v>
      </c>
      <c r="M46" s="4" t="s">
        <v>21</v>
      </c>
    </row>
    <row r="47" spans="1:13" ht="30.75" customHeight="1" x14ac:dyDescent="0.3">
      <c r="A47" s="4">
        <v>46</v>
      </c>
      <c r="B47" s="3" t="s">
        <v>244</v>
      </c>
      <c r="C47" s="2" t="s">
        <v>222</v>
      </c>
      <c r="D47" s="4" t="s">
        <v>23</v>
      </c>
      <c r="E47" s="3" t="s">
        <v>245</v>
      </c>
      <c r="F47" s="2" t="s">
        <v>21</v>
      </c>
      <c r="G47" s="2" t="s">
        <v>246</v>
      </c>
      <c r="H47" s="2" t="s">
        <v>247</v>
      </c>
      <c r="I47" s="2" t="s">
        <v>21</v>
      </c>
      <c r="J47" s="2" t="s">
        <v>21</v>
      </c>
      <c r="K47" s="4" t="s">
        <v>21</v>
      </c>
      <c r="L47" s="2" t="s">
        <v>21</v>
      </c>
      <c r="M47" s="4" t="s">
        <v>21</v>
      </c>
    </row>
    <row r="48" spans="1:13" ht="97.8" customHeight="1" x14ac:dyDescent="0.3">
      <c r="A48" s="4">
        <v>47</v>
      </c>
      <c r="B48" s="3" t="s">
        <v>248</v>
      </c>
      <c r="C48" s="2" t="s">
        <v>249</v>
      </c>
      <c r="D48" s="4" t="s">
        <v>29</v>
      </c>
      <c r="E48" s="3" t="s">
        <v>250</v>
      </c>
      <c r="F48" s="2" t="s">
        <v>21</v>
      </c>
      <c r="G48" s="2" t="s">
        <v>251</v>
      </c>
      <c r="H48" s="2" t="s">
        <v>252</v>
      </c>
      <c r="I48" s="2" t="s">
        <v>253</v>
      </c>
      <c r="J48" s="2" t="s">
        <v>21</v>
      </c>
      <c r="K48" s="4" t="s">
        <v>21</v>
      </c>
      <c r="L48" s="2" t="s">
        <v>21</v>
      </c>
      <c r="M48" s="4" t="s">
        <v>21</v>
      </c>
    </row>
    <row r="49" spans="1:13" ht="97.8" customHeight="1" x14ac:dyDescent="0.3">
      <c r="A49" s="4">
        <v>48</v>
      </c>
      <c r="B49" s="3" t="s">
        <v>254</v>
      </c>
      <c r="C49" s="2" t="s">
        <v>249</v>
      </c>
      <c r="D49" s="4" t="s">
        <v>29</v>
      </c>
      <c r="E49" s="3" t="s">
        <v>255</v>
      </c>
      <c r="F49" s="2" t="s">
        <v>21</v>
      </c>
      <c r="G49" s="2" t="s">
        <v>256</v>
      </c>
      <c r="H49" s="2" t="s">
        <v>257</v>
      </c>
      <c r="I49" s="2" t="s">
        <v>258</v>
      </c>
      <c r="J49" s="2" t="s">
        <v>21</v>
      </c>
      <c r="K49" s="4" t="s">
        <v>21</v>
      </c>
      <c r="L49" s="2" t="s">
        <v>21</v>
      </c>
      <c r="M49" s="4" t="s">
        <v>21</v>
      </c>
    </row>
    <row r="50" spans="1:13" ht="44.25" customHeight="1" x14ac:dyDescent="0.3">
      <c r="A50" s="4">
        <v>49</v>
      </c>
      <c r="B50" s="3" t="s">
        <v>259</v>
      </c>
      <c r="C50" s="2" t="s">
        <v>249</v>
      </c>
      <c r="D50" s="4" t="s">
        <v>23</v>
      </c>
      <c r="E50" s="3" t="s">
        <v>260</v>
      </c>
      <c r="F50" s="2" t="s">
        <v>21</v>
      </c>
      <c r="G50" s="2" t="s">
        <v>261</v>
      </c>
      <c r="H50" s="2" t="s">
        <v>262</v>
      </c>
      <c r="I50" s="2" t="s">
        <v>263</v>
      </c>
      <c r="J50" s="2" t="s">
        <v>21</v>
      </c>
      <c r="K50" s="4" t="s">
        <v>21</v>
      </c>
      <c r="L50" s="2" t="s">
        <v>21</v>
      </c>
      <c r="M50" s="4" t="s">
        <v>21</v>
      </c>
    </row>
    <row r="51" spans="1:13" ht="57.6" customHeight="1" x14ac:dyDescent="0.3">
      <c r="A51" s="4">
        <v>50</v>
      </c>
      <c r="B51" s="3" t="s">
        <v>264</v>
      </c>
      <c r="C51" s="2" t="s">
        <v>249</v>
      </c>
      <c r="D51" s="4" t="s">
        <v>29</v>
      </c>
      <c r="E51" s="3" t="s">
        <v>265</v>
      </c>
      <c r="F51" s="2" t="s">
        <v>21</v>
      </c>
      <c r="G51" s="2" t="s">
        <v>266</v>
      </c>
      <c r="H51" s="2" t="s">
        <v>267</v>
      </c>
      <c r="I51" s="2" t="s">
        <v>268</v>
      </c>
      <c r="J51" s="2" t="s">
        <v>21</v>
      </c>
      <c r="K51" s="4" t="s">
        <v>21</v>
      </c>
      <c r="L51" s="2" t="s">
        <v>21</v>
      </c>
      <c r="M51" s="4" t="s">
        <v>21</v>
      </c>
    </row>
    <row r="52" spans="1:13" ht="124.65" customHeight="1" x14ac:dyDescent="0.3">
      <c r="A52" s="4">
        <v>51</v>
      </c>
      <c r="B52" s="3" t="s">
        <v>269</v>
      </c>
      <c r="C52" s="2" t="s">
        <v>249</v>
      </c>
      <c r="D52" s="4" t="s">
        <v>29</v>
      </c>
      <c r="E52" s="3" t="s">
        <v>270</v>
      </c>
      <c r="F52" s="2" t="s">
        <v>21</v>
      </c>
      <c r="G52" s="2" t="s">
        <v>271</v>
      </c>
      <c r="H52" s="2" t="s">
        <v>272</v>
      </c>
      <c r="I52" s="2" t="s">
        <v>273</v>
      </c>
      <c r="J52" s="2" t="s">
        <v>274</v>
      </c>
      <c r="K52" s="4" t="s">
        <v>21</v>
      </c>
      <c r="L52" s="2" t="s">
        <v>21</v>
      </c>
      <c r="M52" s="4" t="s">
        <v>21</v>
      </c>
    </row>
    <row r="53" spans="1:13" ht="44.25" customHeight="1" x14ac:dyDescent="0.3">
      <c r="A53" s="4">
        <v>52</v>
      </c>
      <c r="B53" s="3" t="s">
        <v>275</v>
      </c>
      <c r="C53" s="2" t="s">
        <v>249</v>
      </c>
      <c r="D53" s="4" t="s">
        <v>29</v>
      </c>
      <c r="E53" s="3" t="s">
        <v>276</v>
      </c>
      <c r="F53" s="2" t="s">
        <v>21</v>
      </c>
      <c r="G53" s="2" t="s">
        <v>277</v>
      </c>
      <c r="H53" s="2" t="s">
        <v>278</v>
      </c>
      <c r="I53" s="2" t="s">
        <v>279</v>
      </c>
      <c r="J53" s="2" t="s">
        <v>21</v>
      </c>
      <c r="K53" s="4" t="s">
        <v>21</v>
      </c>
      <c r="L53" s="2" t="s">
        <v>21</v>
      </c>
      <c r="M53" s="4" t="s">
        <v>21</v>
      </c>
    </row>
    <row r="54" spans="1:13" ht="44.25" customHeight="1" x14ac:dyDescent="0.3">
      <c r="A54" s="4">
        <v>53</v>
      </c>
      <c r="B54" s="3" t="s">
        <v>280</v>
      </c>
      <c r="C54" s="2" t="s">
        <v>249</v>
      </c>
      <c r="D54" s="4" t="s">
        <v>29</v>
      </c>
      <c r="E54" s="3" t="s">
        <v>281</v>
      </c>
      <c r="F54" s="2" t="s">
        <v>21</v>
      </c>
      <c r="G54" s="2" t="s">
        <v>282</v>
      </c>
      <c r="H54" s="2" t="s">
        <v>283</v>
      </c>
      <c r="I54" s="2" t="s">
        <v>284</v>
      </c>
      <c r="J54" s="2" t="s">
        <v>21</v>
      </c>
      <c r="K54" s="4" t="s">
        <v>21</v>
      </c>
      <c r="L54" s="2" t="s">
        <v>21</v>
      </c>
      <c r="M54" s="4" t="s">
        <v>21</v>
      </c>
    </row>
    <row r="55" spans="1:13" ht="70.95" customHeight="1" x14ac:dyDescent="0.3">
      <c r="A55" s="4">
        <v>54</v>
      </c>
      <c r="B55" s="3" t="s">
        <v>285</v>
      </c>
      <c r="C55" s="2" t="s">
        <v>249</v>
      </c>
      <c r="D55" s="4" t="s">
        <v>29</v>
      </c>
      <c r="E55" s="3" t="s">
        <v>286</v>
      </c>
      <c r="F55" s="2" t="s">
        <v>21</v>
      </c>
      <c r="G55" s="2" t="s">
        <v>287</v>
      </c>
      <c r="H55" s="2" t="s">
        <v>288</v>
      </c>
      <c r="I55" s="2" t="s">
        <v>289</v>
      </c>
      <c r="J55" s="2" t="s">
        <v>21</v>
      </c>
      <c r="K55" s="4" t="s">
        <v>21</v>
      </c>
      <c r="L55" s="2" t="s">
        <v>21</v>
      </c>
      <c r="M55" s="4" t="s">
        <v>21</v>
      </c>
    </row>
    <row r="56" spans="1:13" ht="44.25" customHeight="1" x14ac:dyDescent="0.3">
      <c r="A56" s="4">
        <v>55</v>
      </c>
      <c r="B56" s="3" t="s">
        <v>290</v>
      </c>
      <c r="C56" s="2" t="s">
        <v>249</v>
      </c>
      <c r="D56" s="4" t="s">
        <v>29</v>
      </c>
      <c r="E56" s="3" t="s">
        <v>291</v>
      </c>
      <c r="F56" s="2" t="s">
        <v>21</v>
      </c>
      <c r="G56" s="2" t="s">
        <v>292</v>
      </c>
      <c r="H56" s="2" t="s">
        <v>293</v>
      </c>
      <c r="I56" s="2" t="s">
        <v>294</v>
      </c>
      <c r="J56" s="2" t="s">
        <v>21</v>
      </c>
      <c r="K56" s="4" t="s">
        <v>21</v>
      </c>
      <c r="L56" s="2" t="s">
        <v>21</v>
      </c>
      <c r="M56" s="4" t="s">
        <v>21</v>
      </c>
    </row>
    <row r="57" spans="1:13" ht="44.25" customHeight="1" x14ac:dyDescent="0.3">
      <c r="A57" s="4">
        <v>56</v>
      </c>
      <c r="B57" s="3" t="s">
        <v>295</v>
      </c>
      <c r="C57" s="2" t="s">
        <v>249</v>
      </c>
      <c r="D57" s="4" t="s">
        <v>23</v>
      </c>
      <c r="E57" s="3" t="s">
        <v>296</v>
      </c>
      <c r="F57" s="2" t="s">
        <v>21</v>
      </c>
      <c r="G57" s="2" t="s">
        <v>297</v>
      </c>
      <c r="H57" s="2" t="s">
        <v>298</v>
      </c>
      <c r="I57" s="2" t="s">
        <v>299</v>
      </c>
      <c r="J57" s="2" t="s">
        <v>21</v>
      </c>
      <c r="K57" s="4" t="s">
        <v>21</v>
      </c>
      <c r="L57" s="2" t="s">
        <v>21</v>
      </c>
      <c r="M57" s="4" t="s">
        <v>21</v>
      </c>
    </row>
    <row r="58" spans="1:13" ht="57.6" customHeight="1" x14ac:dyDescent="0.3">
      <c r="A58" s="4">
        <v>57</v>
      </c>
      <c r="B58" s="3" t="s">
        <v>300</v>
      </c>
      <c r="C58" s="2" t="s">
        <v>301</v>
      </c>
      <c r="D58" s="4" t="s">
        <v>29</v>
      </c>
      <c r="E58" s="3" t="s">
        <v>302</v>
      </c>
      <c r="F58" s="2" t="s">
        <v>21</v>
      </c>
      <c r="G58" s="2" t="s">
        <v>303</v>
      </c>
      <c r="H58" s="2" t="s">
        <v>304</v>
      </c>
      <c r="I58" s="2" t="s">
        <v>305</v>
      </c>
      <c r="J58" s="2" t="s">
        <v>21</v>
      </c>
      <c r="K58" s="4" t="s">
        <v>21</v>
      </c>
      <c r="L58" s="2" t="s">
        <v>21</v>
      </c>
      <c r="M58" s="4" t="s">
        <v>21</v>
      </c>
    </row>
    <row r="59" spans="1:13" ht="84.45" customHeight="1" x14ac:dyDescent="0.3">
      <c r="A59" s="4">
        <v>58</v>
      </c>
      <c r="B59" s="3" t="s">
        <v>306</v>
      </c>
      <c r="C59" s="2" t="s">
        <v>301</v>
      </c>
      <c r="D59" s="4" t="s">
        <v>29</v>
      </c>
      <c r="E59" s="3" t="s">
        <v>307</v>
      </c>
      <c r="F59" s="2" t="s">
        <v>21</v>
      </c>
      <c r="G59" s="2" t="s">
        <v>308</v>
      </c>
      <c r="H59" s="2" t="s">
        <v>309</v>
      </c>
      <c r="I59" s="2" t="s">
        <v>310</v>
      </c>
      <c r="J59" s="2" t="s">
        <v>311</v>
      </c>
      <c r="K59" s="4" t="s">
        <v>21</v>
      </c>
      <c r="L59" s="2" t="s">
        <v>21</v>
      </c>
      <c r="M59" s="4" t="s">
        <v>21</v>
      </c>
    </row>
    <row r="60" spans="1:13" ht="84.45" customHeight="1" x14ac:dyDescent="0.3">
      <c r="A60" s="4">
        <v>59</v>
      </c>
      <c r="B60" s="3" t="s">
        <v>312</v>
      </c>
      <c r="C60" s="2" t="s">
        <v>301</v>
      </c>
      <c r="D60" s="4" t="s">
        <v>15</v>
      </c>
      <c r="E60" s="3" t="s">
        <v>313</v>
      </c>
      <c r="F60" s="2" t="s">
        <v>21</v>
      </c>
      <c r="G60" s="2" t="s">
        <v>314</v>
      </c>
      <c r="H60" s="2" t="s">
        <v>315</v>
      </c>
      <c r="I60" s="2" t="s">
        <v>316</v>
      </c>
      <c r="J60" s="2" t="s">
        <v>317</v>
      </c>
      <c r="K60" s="4" t="s">
        <v>21</v>
      </c>
      <c r="L60" s="2" t="s">
        <v>21</v>
      </c>
      <c r="M60" s="4" t="s">
        <v>21</v>
      </c>
    </row>
    <row r="61" spans="1:13" ht="44.25" customHeight="1" x14ac:dyDescent="0.3">
      <c r="A61" s="4">
        <v>60</v>
      </c>
      <c r="B61" s="3" t="s">
        <v>318</v>
      </c>
      <c r="C61" s="2" t="s">
        <v>301</v>
      </c>
      <c r="D61" s="4" t="s">
        <v>23</v>
      </c>
      <c r="E61" s="3" t="s">
        <v>319</v>
      </c>
      <c r="F61" s="2" t="s">
        <v>21</v>
      </c>
      <c r="G61" s="2" t="s">
        <v>320</v>
      </c>
      <c r="H61" s="2" t="s">
        <v>321</v>
      </c>
      <c r="I61" s="2" t="s">
        <v>322</v>
      </c>
      <c r="J61" s="2" t="s">
        <v>21</v>
      </c>
      <c r="K61" s="4" t="s">
        <v>21</v>
      </c>
      <c r="L61" s="2" t="s">
        <v>21</v>
      </c>
      <c r="M61" s="4" t="s">
        <v>21</v>
      </c>
    </row>
    <row r="62" spans="1:13" ht="44.25" customHeight="1" x14ac:dyDescent="0.3">
      <c r="A62" s="4">
        <v>61</v>
      </c>
      <c r="B62" s="3" t="s">
        <v>323</v>
      </c>
      <c r="C62" s="2" t="s">
        <v>301</v>
      </c>
      <c r="D62" s="4" t="s">
        <v>23</v>
      </c>
      <c r="E62" s="3" t="s">
        <v>324</v>
      </c>
      <c r="F62" s="2" t="s">
        <v>21</v>
      </c>
      <c r="G62" s="2" t="s">
        <v>325</v>
      </c>
      <c r="H62" s="2" t="s">
        <v>326</v>
      </c>
      <c r="I62" s="2" t="s">
        <v>21</v>
      </c>
      <c r="J62" s="2" t="s">
        <v>21</v>
      </c>
      <c r="K62" s="4" t="s">
        <v>21</v>
      </c>
      <c r="L62" s="2" t="s">
        <v>21</v>
      </c>
      <c r="M62" s="4" t="s">
        <v>21</v>
      </c>
    </row>
    <row r="63" spans="1:13" ht="70.95" customHeight="1" x14ac:dyDescent="0.3">
      <c r="A63" s="4">
        <v>62</v>
      </c>
      <c r="B63" s="3" t="s">
        <v>327</v>
      </c>
      <c r="C63" s="2" t="s">
        <v>328</v>
      </c>
      <c r="D63" s="4" t="s">
        <v>29</v>
      </c>
      <c r="E63" s="3" t="s">
        <v>329</v>
      </c>
      <c r="F63" s="2" t="s">
        <v>21</v>
      </c>
      <c r="G63" s="2" t="s">
        <v>330</v>
      </c>
      <c r="H63" s="2" t="s">
        <v>331</v>
      </c>
      <c r="I63" s="2" t="s">
        <v>332</v>
      </c>
      <c r="J63" s="2" t="s">
        <v>21</v>
      </c>
      <c r="K63" s="4" t="s">
        <v>21</v>
      </c>
      <c r="L63" s="2" t="s">
        <v>21</v>
      </c>
      <c r="M63" s="4" t="s">
        <v>21</v>
      </c>
    </row>
    <row r="64" spans="1:13" ht="30.75" customHeight="1" x14ac:dyDescent="0.3">
      <c r="A64" s="4">
        <v>63</v>
      </c>
      <c r="B64" s="3" t="s">
        <v>333</v>
      </c>
      <c r="C64" s="2" t="s">
        <v>328</v>
      </c>
      <c r="D64" s="4" t="s">
        <v>15</v>
      </c>
      <c r="E64" s="3" t="s">
        <v>334</v>
      </c>
      <c r="F64" s="2" t="s">
        <v>21</v>
      </c>
      <c r="G64" s="2" t="s">
        <v>335</v>
      </c>
      <c r="H64" s="2" t="s">
        <v>336</v>
      </c>
      <c r="I64" s="2" t="s">
        <v>337</v>
      </c>
      <c r="J64" s="2" t="s">
        <v>21</v>
      </c>
      <c r="K64" s="4" t="s">
        <v>21</v>
      </c>
      <c r="L64" s="2" t="s">
        <v>21</v>
      </c>
      <c r="M64" s="4" t="s">
        <v>21</v>
      </c>
    </row>
    <row r="65" spans="1:13" ht="44.25" customHeight="1" x14ac:dyDescent="0.3">
      <c r="A65" s="4">
        <v>64</v>
      </c>
      <c r="B65" s="3" t="s">
        <v>338</v>
      </c>
      <c r="C65" s="2" t="s">
        <v>328</v>
      </c>
      <c r="D65" s="4" t="s">
        <v>29</v>
      </c>
      <c r="E65" s="3" t="s">
        <v>339</v>
      </c>
      <c r="F65" s="2" t="s">
        <v>21</v>
      </c>
      <c r="G65" s="2" t="s">
        <v>340</v>
      </c>
      <c r="H65" s="2" t="s">
        <v>341</v>
      </c>
      <c r="I65" s="2" t="s">
        <v>342</v>
      </c>
      <c r="J65" s="2" t="s">
        <v>21</v>
      </c>
      <c r="K65" s="4" t="s">
        <v>21</v>
      </c>
      <c r="L65" s="2" t="s">
        <v>21</v>
      </c>
      <c r="M65" s="4" t="s">
        <v>21</v>
      </c>
    </row>
    <row r="66" spans="1:13" ht="30.75" customHeight="1" x14ac:dyDescent="0.3">
      <c r="A66" s="4">
        <v>65</v>
      </c>
      <c r="B66" s="3" t="s">
        <v>343</v>
      </c>
      <c r="C66" s="2" t="s">
        <v>328</v>
      </c>
      <c r="D66" s="4" t="s">
        <v>29</v>
      </c>
      <c r="E66" s="3" t="s">
        <v>344</v>
      </c>
      <c r="F66" s="2" t="s">
        <v>21</v>
      </c>
      <c r="G66" s="2" t="s">
        <v>345</v>
      </c>
      <c r="H66" s="2" t="s">
        <v>346</v>
      </c>
      <c r="I66" s="2" t="s">
        <v>347</v>
      </c>
      <c r="J66" s="2" t="s">
        <v>21</v>
      </c>
      <c r="K66" s="4" t="s">
        <v>21</v>
      </c>
      <c r="L66" s="2" t="s">
        <v>21</v>
      </c>
      <c r="M66" s="4" t="s">
        <v>21</v>
      </c>
    </row>
    <row r="67" spans="1:13" ht="84.45" customHeight="1" x14ac:dyDescent="0.3">
      <c r="A67" s="4">
        <v>66</v>
      </c>
      <c r="B67" s="3" t="s">
        <v>348</v>
      </c>
      <c r="C67" s="2" t="s">
        <v>328</v>
      </c>
      <c r="D67" s="4" t="s">
        <v>29</v>
      </c>
      <c r="E67" s="3" t="s">
        <v>349</v>
      </c>
      <c r="F67" s="2" t="s">
        <v>21</v>
      </c>
      <c r="G67" s="2" t="s">
        <v>350</v>
      </c>
      <c r="H67" s="2" t="s">
        <v>351</v>
      </c>
      <c r="I67" s="2" t="s">
        <v>21</v>
      </c>
      <c r="J67" s="2" t="s">
        <v>352</v>
      </c>
      <c r="K67" s="4" t="s">
        <v>21</v>
      </c>
      <c r="L67" s="2" t="s">
        <v>21</v>
      </c>
      <c r="M67" s="4" t="s">
        <v>21</v>
      </c>
    </row>
    <row r="68" spans="1:13" ht="30.75" customHeight="1" x14ac:dyDescent="0.3">
      <c r="A68" s="4">
        <v>67</v>
      </c>
      <c r="B68" s="3" t="s">
        <v>353</v>
      </c>
      <c r="C68" s="2" t="s">
        <v>328</v>
      </c>
      <c r="D68" s="4" t="s">
        <v>15</v>
      </c>
      <c r="E68" s="3" t="s">
        <v>354</v>
      </c>
      <c r="F68" s="2" t="s">
        <v>21</v>
      </c>
      <c r="G68" s="2" t="s">
        <v>355</v>
      </c>
      <c r="H68" s="2" t="s">
        <v>356</v>
      </c>
      <c r="I68" s="2" t="s">
        <v>357</v>
      </c>
      <c r="J68" s="2" t="s">
        <v>21</v>
      </c>
      <c r="K68" s="4" t="s">
        <v>21</v>
      </c>
      <c r="L68" s="2" t="s">
        <v>21</v>
      </c>
      <c r="M68" s="4" t="s">
        <v>21</v>
      </c>
    </row>
    <row r="69" spans="1:13" ht="44.25" customHeight="1" x14ac:dyDescent="0.3">
      <c r="A69" s="4">
        <v>68</v>
      </c>
      <c r="B69" s="3" t="s">
        <v>358</v>
      </c>
      <c r="C69" s="2" t="s">
        <v>328</v>
      </c>
      <c r="D69" s="4" t="s">
        <v>23</v>
      </c>
      <c r="E69" s="3" t="s">
        <v>359</v>
      </c>
      <c r="F69" s="2" t="s">
        <v>21</v>
      </c>
      <c r="G69" s="2" t="s">
        <v>360</v>
      </c>
      <c r="H69" s="2" t="s">
        <v>361</v>
      </c>
      <c r="I69" s="2" t="s">
        <v>21</v>
      </c>
      <c r="J69" s="2" t="s">
        <v>21</v>
      </c>
      <c r="K69" s="4" t="s">
        <v>21</v>
      </c>
      <c r="L69" s="2" t="s">
        <v>21</v>
      </c>
      <c r="M69" s="4" t="s">
        <v>21</v>
      </c>
    </row>
    <row r="70" spans="1:13" ht="124.65" customHeight="1" x14ac:dyDescent="0.3">
      <c r="A70" s="4">
        <v>69</v>
      </c>
      <c r="B70" s="3" t="s">
        <v>362</v>
      </c>
      <c r="C70" s="2" t="s">
        <v>328</v>
      </c>
      <c r="D70" s="4" t="s">
        <v>23</v>
      </c>
      <c r="E70" s="3" t="s">
        <v>363</v>
      </c>
      <c r="F70" s="2" t="s">
        <v>21</v>
      </c>
      <c r="G70" s="2" t="s">
        <v>21</v>
      </c>
      <c r="H70" s="2" t="s">
        <v>21</v>
      </c>
      <c r="I70" s="2" t="s">
        <v>21</v>
      </c>
      <c r="J70" s="2" t="s">
        <v>364</v>
      </c>
      <c r="K70" s="4" t="s">
        <v>21</v>
      </c>
      <c r="L70" s="2" t="s">
        <v>21</v>
      </c>
      <c r="M70" s="4" t="s">
        <v>21</v>
      </c>
    </row>
    <row r="71" spans="1:13" ht="44.25" customHeight="1" x14ac:dyDescent="0.3">
      <c r="A71" s="4">
        <v>70</v>
      </c>
      <c r="B71" s="3" t="s">
        <v>365</v>
      </c>
      <c r="C71" s="2" t="s">
        <v>366</v>
      </c>
      <c r="D71" s="4" t="s">
        <v>29</v>
      </c>
      <c r="E71" s="3" t="s">
        <v>367</v>
      </c>
      <c r="F71" s="2" t="s">
        <v>21</v>
      </c>
      <c r="G71" s="2" t="s">
        <v>368</v>
      </c>
      <c r="H71" s="2" t="s">
        <v>369</v>
      </c>
      <c r="I71" s="2" t="s">
        <v>370</v>
      </c>
      <c r="J71" s="2" t="s">
        <v>21</v>
      </c>
      <c r="K71" s="4" t="s">
        <v>21</v>
      </c>
      <c r="L71" s="2" t="s">
        <v>21</v>
      </c>
      <c r="M71" s="4" t="s">
        <v>21</v>
      </c>
    </row>
    <row r="72" spans="1:13" ht="30.75" customHeight="1" x14ac:dyDescent="0.3">
      <c r="A72" s="4">
        <v>71</v>
      </c>
      <c r="B72" s="3" t="s">
        <v>371</v>
      </c>
      <c r="C72" s="2" t="s">
        <v>366</v>
      </c>
      <c r="D72" s="4" t="s">
        <v>23</v>
      </c>
      <c r="E72" s="3" t="s">
        <v>372</v>
      </c>
      <c r="F72" s="2" t="s">
        <v>21</v>
      </c>
      <c r="G72" s="2" t="s">
        <v>373</v>
      </c>
      <c r="H72" s="2" t="s">
        <v>374</v>
      </c>
      <c r="I72" s="2" t="s">
        <v>21</v>
      </c>
      <c r="J72" s="2" t="s">
        <v>21</v>
      </c>
      <c r="K72" s="4" t="s">
        <v>21</v>
      </c>
      <c r="L72" s="2" t="s">
        <v>21</v>
      </c>
      <c r="M72" s="4" t="s">
        <v>21</v>
      </c>
    </row>
    <row r="73" spans="1:13" ht="44.25" customHeight="1" x14ac:dyDescent="0.3">
      <c r="A73" s="4">
        <v>72</v>
      </c>
      <c r="B73" s="3" t="s">
        <v>375</v>
      </c>
      <c r="C73" s="2" t="s">
        <v>366</v>
      </c>
      <c r="D73" s="4" t="s">
        <v>23</v>
      </c>
      <c r="E73" s="3" t="s">
        <v>376</v>
      </c>
      <c r="F73" s="2" t="s">
        <v>21</v>
      </c>
      <c r="G73" s="2" t="s">
        <v>377</v>
      </c>
      <c r="H73" s="2" t="s">
        <v>378</v>
      </c>
      <c r="I73" s="2" t="s">
        <v>21</v>
      </c>
      <c r="J73" s="2" t="s">
        <v>21</v>
      </c>
      <c r="K73" s="4" t="s">
        <v>21</v>
      </c>
      <c r="L73" s="2" t="s">
        <v>21</v>
      </c>
      <c r="M73" s="4" t="s">
        <v>21</v>
      </c>
    </row>
    <row r="74" spans="1:13" ht="30.75" customHeight="1" x14ac:dyDescent="0.3">
      <c r="A74" s="4">
        <v>73</v>
      </c>
      <c r="B74" s="3" t="s">
        <v>379</v>
      </c>
      <c r="C74" s="2" t="s">
        <v>366</v>
      </c>
      <c r="D74" s="4" t="s">
        <v>29</v>
      </c>
      <c r="E74" s="3" t="s">
        <v>380</v>
      </c>
      <c r="F74" s="2" t="s">
        <v>21</v>
      </c>
      <c r="G74" s="2" t="s">
        <v>381</v>
      </c>
      <c r="H74" s="2" t="s">
        <v>382</v>
      </c>
      <c r="I74" s="2" t="s">
        <v>383</v>
      </c>
      <c r="J74" s="2" t="s">
        <v>21</v>
      </c>
      <c r="K74" s="4" t="s">
        <v>21</v>
      </c>
      <c r="L74" s="2" t="s">
        <v>21</v>
      </c>
      <c r="M74" s="4" t="s">
        <v>21</v>
      </c>
    </row>
    <row r="75" spans="1:13" ht="84.45" customHeight="1" x14ac:dyDescent="0.3">
      <c r="A75" s="4">
        <v>74</v>
      </c>
      <c r="B75" s="3" t="s">
        <v>384</v>
      </c>
      <c r="C75" s="2" t="s">
        <v>366</v>
      </c>
      <c r="D75" s="4" t="s">
        <v>29</v>
      </c>
      <c r="E75" s="3" t="s">
        <v>385</v>
      </c>
      <c r="F75" s="2" t="s">
        <v>21</v>
      </c>
      <c r="G75" s="2" t="s">
        <v>386</v>
      </c>
      <c r="H75" s="2" t="s">
        <v>387</v>
      </c>
      <c r="I75" s="2" t="s">
        <v>388</v>
      </c>
      <c r="J75" s="2" t="s">
        <v>21</v>
      </c>
      <c r="K75" s="4" t="s">
        <v>21</v>
      </c>
      <c r="L75" s="2" t="s">
        <v>21</v>
      </c>
      <c r="M75" s="4" t="s">
        <v>21</v>
      </c>
    </row>
    <row r="76" spans="1:13" ht="44.25" customHeight="1" x14ac:dyDescent="0.3">
      <c r="A76" s="4">
        <v>75</v>
      </c>
      <c r="B76" s="3" t="s">
        <v>389</v>
      </c>
      <c r="C76" s="2" t="s">
        <v>366</v>
      </c>
      <c r="D76" s="4" t="s">
        <v>15</v>
      </c>
      <c r="E76" s="3" t="s">
        <v>390</v>
      </c>
      <c r="F76" s="2" t="s">
        <v>21</v>
      </c>
      <c r="G76" s="2" t="s">
        <v>391</v>
      </c>
      <c r="H76" s="2" t="s">
        <v>392</v>
      </c>
      <c r="I76" s="2" t="s">
        <v>393</v>
      </c>
      <c r="J76" s="2" t="s">
        <v>21</v>
      </c>
      <c r="K76" s="4" t="s">
        <v>21</v>
      </c>
      <c r="L76" s="2" t="s">
        <v>21</v>
      </c>
      <c r="M76" s="4" t="s">
        <v>21</v>
      </c>
    </row>
    <row r="77" spans="1:13" ht="57.6" customHeight="1" x14ac:dyDescent="0.3">
      <c r="A77" s="4">
        <v>76</v>
      </c>
      <c r="B77" s="3" t="s">
        <v>394</v>
      </c>
      <c r="C77" s="2" t="s">
        <v>366</v>
      </c>
      <c r="D77" s="4" t="s">
        <v>29</v>
      </c>
      <c r="E77" s="3" t="s">
        <v>395</v>
      </c>
      <c r="F77" s="2" t="s">
        <v>21</v>
      </c>
      <c r="G77" s="2" t="s">
        <v>396</v>
      </c>
      <c r="H77" s="2" t="s">
        <v>397</v>
      </c>
      <c r="I77" s="2" t="s">
        <v>398</v>
      </c>
      <c r="J77" s="2" t="s">
        <v>21</v>
      </c>
      <c r="K77" s="4" t="s">
        <v>21</v>
      </c>
      <c r="L77" s="2" t="s">
        <v>21</v>
      </c>
      <c r="M77" s="4" t="s">
        <v>21</v>
      </c>
    </row>
    <row r="78" spans="1:13" ht="97.8" customHeight="1" x14ac:dyDescent="0.3">
      <c r="A78" s="4">
        <v>77</v>
      </c>
      <c r="B78" s="3" t="s">
        <v>399</v>
      </c>
      <c r="C78" s="2" t="s">
        <v>400</v>
      </c>
      <c r="D78" s="4" t="s">
        <v>29</v>
      </c>
      <c r="E78" s="3" t="s">
        <v>401</v>
      </c>
      <c r="F78" s="2" t="s">
        <v>402</v>
      </c>
      <c r="G78" s="2" t="s">
        <v>403</v>
      </c>
      <c r="H78" s="2" t="s">
        <v>404</v>
      </c>
      <c r="I78" s="2" t="s">
        <v>405</v>
      </c>
      <c r="J78" s="2" t="s">
        <v>21</v>
      </c>
      <c r="K78" s="4" t="s">
        <v>21</v>
      </c>
      <c r="L78" s="2" t="s">
        <v>21</v>
      </c>
      <c r="M78" s="4" t="s">
        <v>21</v>
      </c>
    </row>
    <row r="79" spans="1:13" ht="57.6" customHeight="1" x14ac:dyDescent="0.3">
      <c r="A79" s="4">
        <v>78</v>
      </c>
      <c r="B79" s="3" t="s">
        <v>406</v>
      </c>
      <c r="C79" s="2" t="s">
        <v>400</v>
      </c>
      <c r="D79" s="4" t="s">
        <v>29</v>
      </c>
      <c r="E79" s="3" t="s">
        <v>407</v>
      </c>
      <c r="F79" s="2" t="s">
        <v>21</v>
      </c>
      <c r="G79" s="2" t="s">
        <v>408</v>
      </c>
      <c r="H79" s="2" t="s">
        <v>409</v>
      </c>
      <c r="I79" s="2" t="s">
        <v>410</v>
      </c>
      <c r="J79" s="2" t="s">
        <v>21</v>
      </c>
      <c r="K79" s="4" t="s">
        <v>21</v>
      </c>
      <c r="L79" s="2" t="s">
        <v>21</v>
      </c>
      <c r="M79" s="4" t="s">
        <v>21</v>
      </c>
    </row>
    <row r="80" spans="1:13" ht="178.2" customHeight="1" x14ac:dyDescent="0.3">
      <c r="A80" s="4">
        <v>79</v>
      </c>
      <c r="B80" s="3" t="s">
        <v>411</v>
      </c>
      <c r="C80" s="2" t="s">
        <v>400</v>
      </c>
      <c r="D80" s="4" t="s">
        <v>29</v>
      </c>
      <c r="E80" s="3" t="s">
        <v>412</v>
      </c>
      <c r="F80" s="2" t="s">
        <v>21</v>
      </c>
      <c r="G80" s="2" t="s">
        <v>413</v>
      </c>
      <c r="H80" s="2" t="s">
        <v>414</v>
      </c>
      <c r="I80" s="2" t="s">
        <v>415</v>
      </c>
      <c r="J80" s="2" t="s">
        <v>416</v>
      </c>
      <c r="K80" s="4" t="s">
        <v>21</v>
      </c>
      <c r="L80" s="2" t="s">
        <v>21</v>
      </c>
      <c r="M80" s="4" t="s">
        <v>21</v>
      </c>
    </row>
    <row r="81" spans="1:13" ht="44.25" customHeight="1" x14ac:dyDescent="0.3">
      <c r="A81" s="4">
        <v>80</v>
      </c>
      <c r="B81" s="3" t="s">
        <v>417</v>
      </c>
      <c r="C81" s="2" t="s">
        <v>400</v>
      </c>
      <c r="D81" s="4" t="s">
        <v>23</v>
      </c>
      <c r="E81" s="3" t="s">
        <v>418</v>
      </c>
      <c r="F81" s="2" t="s">
        <v>21</v>
      </c>
      <c r="G81" s="2" t="s">
        <v>419</v>
      </c>
      <c r="H81" s="2" t="s">
        <v>420</v>
      </c>
      <c r="I81" s="2" t="s">
        <v>421</v>
      </c>
      <c r="J81" s="2" t="s">
        <v>21</v>
      </c>
      <c r="K81" s="4" t="s">
        <v>21</v>
      </c>
      <c r="L81" s="2" t="s">
        <v>21</v>
      </c>
      <c r="M81" s="4" t="s">
        <v>21</v>
      </c>
    </row>
  </sheetData>
  <autoFilter ref="A1:M81" xr:uid="{00000000-0009-0000-0000-000001000000}"/>
  <conditionalFormatting sqref="D2:D81">
    <cfRule type="containsText" dxfId="3" priority="4" operator="containsText" text="Bắt buộc">
      <formula>NOT(ISERROR(SEARCH("Bắt buộc",D2)))</formula>
    </cfRule>
  </conditionalFormatting>
  <conditionalFormatting sqref="K2:K81">
    <cfRule type="containsText" dxfId="2" priority="1" stopIfTrue="1" operator="containsText" text="Không đạt">
      <formula>NOT(ISERROR(SEARCH("Không đạt",K2)))</formula>
    </cfRule>
    <cfRule type="containsText" dxfId="1" priority="2" operator="containsText" text="Đạt">
      <formula>NOT(ISERROR(SEARCH("Đạt",K2)))</formula>
    </cfRule>
    <cfRule type="containsText" dxfId="0" priority="3" operator="containsText" text="Chưa test được">
      <formula>NOT(ISERROR(SEARCH("Chưa test được",K2)))</formula>
    </cfRule>
  </conditionalFormatting>
  <dataValidations count="1">
    <dataValidation type="list" allowBlank="1" showInputMessage="1" showErrorMessage="1" errorTitle="Giá trị không hợp lệ" error="Chọn một trong các giá trị trong danh sách." sqref="K2:K81" xr:uid="{00000000-0002-0000-0100-000000000000}">
      <formula1>"Đạt,Không đạt,Chưa test được,Không áp dụng"</formula1>
    </dataValidation>
  </dataValidations>
  <pageMargins left="0.4" right="0.4" top="0.5" bottom="0.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workbookViewId="0">
      <pane ySplit="1" topLeftCell="A2" activePane="bottomLeft" state="frozen"/>
      <selection pane="bottomLeft" activeCell="A2" sqref="A2"/>
    </sheetView>
  </sheetViews>
  <sheetFormatPr defaultRowHeight="14.4" x14ac:dyDescent="0.3"/>
  <cols>
    <col min="1" max="1" width="34" customWidth="1"/>
    <col min="2" max="4" width="12" customWidth="1"/>
  </cols>
  <sheetData>
    <row r="1" spans="1:4" ht="24" customHeight="1" x14ac:dyDescent="0.3">
      <c r="A1" s="7" t="s">
        <v>500</v>
      </c>
    </row>
    <row r="2" spans="1:4" ht="19.95" customHeight="1" x14ac:dyDescent="0.3">
      <c r="A2" s="6" t="s">
        <v>501</v>
      </c>
    </row>
    <row r="4" spans="1:4" x14ac:dyDescent="0.3">
      <c r="A4" s="7" t="s">
        <v>502</v>
      </c>
    </row>
    <row r="5" spans="1:4" ht="19.95" customHeight="1" x14ac:dyDescent="0.3">
      <c r="A5" s="1" t="s">
        <v>503</v>
      </c>
      <c r="B5" s="1" t="s">
        <v>504</v>
      </c>
    </row>
    <row r="6" spans="1:4" ht="18" customHeight="1" x14ac:dyDescent="0.3">
      <c r="A6" s="2" t="s">
        <v>505</v>
      </c>
      <c r="B6" s="4">
        <f>COUNTIF('Kịch bản test'!$K$2:$K$81,"Đạt")</f>
        <v>0</v>
      </c>
    </row>
    <row r="7" spans="1:4" ht="18" customHeight="1" x14ac:dyDescent="0.3">
      <c r="A7" s="2" t="s">
        <v>506</v>
      </c>
      <c r="B7" s="4">
        <f>COUNTIF('Kịch bản test'!$K$2:$K$81,"Không đạt")</f>
        <v>0</v>
      </c>
    </row>
    <row r="8" spans="1:4" ht="18" customHeight="1" x14ac:dyDescent="0.3">
      <c r="A8" s="2" t="s">
        <v>507</v>
      </c>
      <c r="B8" s="4">
        <f>COUNTIF('Kịch bản test'!$K$2:$K$81,"Chưa test được")</f>
        <v>0</v>
      </c>
    </row>
    <row r="9" spans="1:4" ht="18" customHeight="1" x14ac:dyDescent="0.3">
      <c r="A9" s="2" t="s">
        <v>508</v>
      </c>
      <c r="B9" s="4">
        <f>COUNTIF('Kịch bản test'!$K$2:$K$81,"Không áp dụng")</f>
        <v>0</v>
      </c>
    </row>
    <row r="10" spans="1:4" ht="18" customHeight="1" x14ac:dyDescent="0.3">
      <c r="A10" s="2" t="s">
        <v>509</v>
      </c>
      <c r="B10" s="4">
        <f>COUNTA('Kịch bản test'!$B$2:$B$81)-SUM(B6:B9)</f>
        <v>80</v>
      </c>
    </row>
    <row r="11" spans="1:4" ht="18" customHeight="1" x14ac:dyDescent="0.3">
      <c r="A11" s="3" t="s">
        <v>510</v>
      </c>
      <c r="B11" s="4">
        <f>COUNTA('Kịch bản test'!$B$2:$B$81)</f>
        <v>80</v>
      </c>
    </row>
    <row r="13" spans="1:4" x14ac:dyDescent="0.3">
      <c r="A13" s="7" t="s">
        <v>511</v>
      </c>
    </row>
    <row r="14" spans="1:4" ht="19.95" customHeight="1" x14ac:dyDescent="0.3">
      <c r="A14" s="1" t="s">
        <v>3</v>
      </c>
      <c r="B14" s="1" t="s">
        <v>512</v>
      </c>
      <c r="C14" s="1" t="s">
        <v>506</v>
      </c>
      <c r="D14" s="1" t="s">
        <v>513</v>
      </c>
    </row>
    <row r="15" spans="1:4" x14ac:dyDescent="0.3">
      <c r="A15" s="2" t="s">
        <v>15</v>
      </c>
      <c r="B15" s="4">
        <f>COUNTIF('Kịch bản test'!$D$2:$D$81,"Bắt buộc")</f>
        <v>10</v>
      </c>
      <c r="C15" s="4">
        <f>COUNTIFS('Kịch bản test'!$D$2:$D$81,"Bắt buộc",'Kịch bản test'!$K$2:$K$81,"Không đạt")</f>
        <v>0</v>
      </c>
      <c r="D15" s="4">
        <f>COUNTIFS('Kịch bản test'!$D$2:$D$81,"Bắt buộc",'Kịch bản test'!$K$2:$K$81,"")</f>
        <v>10</v>
      </c>
    </row>
    <row r="16" spans="1:4" x14ac:dyDescent="0.3">
      <c r="A16" s="2" t="s">
        <v>29</v>
      </c>
      <c r="B16" s="4">
        <f>COUNTIF('Kịch bản test'!$D$2:$D$81,"Quan trọng")</f>
        <v>50</v>
      </c>
      <c r="C16" s="4">
        <f>COUNTIFS('Kịch bản test'!$D$2:$D$81,"Quan trọng",'Kịch bản test'!$K$2:$K$81,"Không đạt")</f>
        <v>0</v>
      </c>
      <c r="D16" s="4">
        <f>COUNTIFS('Kịch bản test'!$D$2:$D$81,"Quan trọng",'Kịch bản test'!$K$2:$K$81,"")</f>
        <v>50</v>
      </c>
    </row>
    <row r="17" spans="1:4" x14ac:dyDescent="0.3">
      <c r="A17" s="2" t="s">
        <v>23</v>
      </c>
      <c r="B17" s="4">
        <f>COUNTIF('Kịch bản test'!$D$2:$D$81,"Tùy chọn")</f>
        <v>20</v>
      </c>
      <c r="C17" s="4">
        <f>COUNTIFS('Kịch bản test'!$D$2:$D$81,"Tùy chọn",'Kịch bản test'!$K$2:$K$81,"Không đạt")</f>
        <v>0</v>
      </c>
      <c r="D17" s="4">
        <f>COUNTIFS('Kịch bản test'!$D$2:$D$81,"Tùy chọn",'Kịch bản test'!$K$2:$K$81,"")</f>
        <v>20</v>
      </c>
    </row>
    <row r="19" spans="1:4" x14ac:dyDescent="0.3">
      <c r="A19" s="7" t="s">
        <v>514</v>
      </c>
    </row>
    <row r="20" spans="1:4" ht="19.95" customHeight="1" x14ac:dyDescent="0.3">
      <c r="A20" s="1" t="s">
        <v>2</v>
      </c>
      <c r="B20" s="1" t="s">
        <v>512</v>
      </c>
      <c r="C20" s="1" t="s">
        <v>506</v>
      </c>
      <c r="D20" s="1" t="s">
        <v>513</v>
      </c>
    </row>
    <row r="21" spans="1:4" ht="30.75" customHeight="1" x14ac:dyDescent="0.3">
      <c r="A21" s="2" t="s">
        <v>14</v>
      </c>
      <c r="B21" s="4">
        <f>COUNTIF('Kịch bản test'!$C$2:$C$81,"Hành trình A*")</f>
        <v>8</v>
      </c>
      <c r="C21" s="4">
        <f>COUNTIFS('Kịch bản test'!$C$2:$C$81,"Hành trình A*",'Kịch bản test'!$K$2:$K$81,"Không đạt")</f>
        <v>0</v>
      </c>
      <c r="D21" s="4">
        <f>COUNTIFS('Kịch bản test'!$C$2:$C$81,"Hành trình A*",'Kịch bản test'!$K$2:$K$81,"")</f>
        <v>8</v>
      </c>
    </row>
    <row r="22" spans="1:4" ht="30.75" customHeight="1" x14ac:dyDescent="0.3">
      <c r="A22" s="2" t="s">
        <v>61</v>
      </c>
      <c r="B22" s="4">
        <f>COUNTIF('Kịch bản test'!$C$2:$C$81,"Hành trình B*")</f>
        <v>10</v>
      </c>
      <c r="C22" s="4">
        <f>COUNTIFS('Kịch bản test'!$C$2:$C$81,"Hành trình B*",'Kịch bản test'!$K$2:$K$81,"Không đạt")</f>
        <v>0</v>
      </c>
      <c r="D22" s="4">
        <f>COUNTIFS('Kịch bản test'!$C$2:$C$81,"Hành trình B*",'Kịch bản test'!$K$2:$K$81,"")</f>
        <v>10</v>
      </c>
    </row>
    <row r="23" spans="1:4" ht="30.75" customHeight="1" x14ac:dyDescent="0.3">
      <c r="A23" s="2" t="s">
        <v>111</v>
      </c>
      <c r="B23" s="4">
        <f>COUNTIF('Kịch bản test'!$C$2:$C$81,"Hành trình C*")</f>
        <v>9</v>
      </c>
      <c r="C23" s="4">
        <f>COUNTIFS('Kịch bản test'!$C$2:$C$81,"Hành trình C*",'Kịch bản test'!$K$2:$K$81,"Không đạt")</f>
        <v>0</v>
      </c>
      <c r="D23" s="4">
        <f>COUNTIFS('Kịch bản test'!$C$2:$C$81,"Hành trình C*",'Kịch bản test'!$K$2:$K$81,"")</f>
        <v>9</v>
      </c>
    </row>
    <row r="24" spans="1:4" ht="30.75" customHeight="1" x14ac:dyDescent="0.3">
      <c r="A24" s="2" t="s">
        <v>155</v>
      </c>
      <c r="B24" s="4">
        <f>COUNTIF('Kịch bản test'!$C$2:$C$81,"Hành trình D*")</f>
        <v>8</v>
      </c>
      <c r="C24" s="4">
        <f>COUNTIFS('Kịch bản test'!$C$2:$C$81,"Hành trình D*",'Kịch bản test'!$K$2:$K$81,"Không đạt")</f>
        <v>0</v>
      </c>
      <c r="D24" s="4">
        <f>COUNTIFS('Kịch bản test'!$C$2:$C$81,"Hành trình D*",'Kịch bản test'!$K$2:$K$81,"")</f>
        <v>8</v>
      </c>
    </row>
    <row r="25" spans="1:4" ht="30.75" customHeight="1" x14ac:dyDescent="0.3">
      <c r="A25" s="2" t="s">
        <v>194</v>
      </c>
      <c r="B25" s="4">
        <f>COUNTIF('Kịch bản test'!$C$2:$C$81,"Hành trình E*")</f>
        <v>6</v>
      </c>
      <c r="C25" s="4">
        <f>COUNTIFS('Kịch bản test'!$C$2:$C$81,"Hành trình E*",'Kịch bản test'!$K$2:$K$81,"Không đạt")</f>
        <v>0</v>
      </c>
      <c r="D25" s="4">
        <f>COUNTIFS('Kịch bản test'!$C$2:$C$81,"Hành trình E*",'Kịch bản test'!$K$2:$K$81,"")</f>
        <v>6</v>
      </c>
    </row>
    <row r="26" spans="1:4" ht="30.75" customHeight="1" x14ac:dyDescent="0.3">
      <c r="A26" s="2" t="s">
        <v>222</v>
      </c>
      <c r="B26" s="4">
        <f>COUNTIF('Kịch bản test'!$C$2:$C$81,"Hành trình F*")</f>
        <v>5</v>
      </c>
      <c r="C26" s="4">
        <f>COUNTIFS('Kịch bản test'!$C$2:$C$81,"Hành trình F*",'Kịch bản test'!$K$2:$K$81,"Không đạt")</f>
        <v>0</v>
      </c>
      <c r="D26" s="4">
        <f>COUNTIFS('Kịch bản test'!$C$2:$C$81,"Hành trình F*",'Kịch bản test'!$K$2:$K$81,"")</f>
        <v>5</v>
      </c>
    </row>
    <row r="27" spans="1:4" ht="30.75" customHeight="1" x14ac:dyDescent="0.3">
      <c r="A27" s="2" t="s">
        <v>249</v>
      </c>
      <c r="B27" s="4">
        <f>COUNTIF('Kịch bản test'!$C$2:$C$81,"Hành trình G*")</f>
        <v>10</v>
      </c>
      <c r="C27" s="4">
        <f>COUNTIFS('Kịch bản test'!$C$2:$C$81,"Hành trình G*",'Kịch bản test'!$K$2:$K$81,"Không đạt")</f>
        <v>0</v>
      </c>
      <c r="D27" s="4">
        <f>COUNTIFS('Kịch bản test'!$C$2:$C$81,"Hành trình G*",'Kịch bản test'!$K$2:$K$81,"")</f>
        <v>10</v>
      </c>
    </row>
    <row r="28" spans="1:4" ht="44.25" customHeight="1" x14ac:dyDescent="0.3">
      <c r="A28" s="2" t="s">
        <v>301</v>
      </c>
      <c r="B28" s="4">
        <f>COUNTIF('Kịch bản test'!$C$2:$C$81,"Hành trình H*")</f>
        <v>5</v>
      </c>
      <c r="C28" s="4">
        <f>COUNTIFS('Kịch bản test'!$C$2:$C$81,"Hành trình H*",'Kịch bản test'!$K$2:$K$81,"Không đạt")</f>
        <v>0</v>
      </c>
      <c r="D28" s="4">
        <f>COUNTIFS('Kịch bản test'!$C$2:$C$81,"Hành trình H*",'Kịch bản test'!$K$2:$K$81,"")</f>
        <v>5</v>
      </c>
    </row>
    <row r="29" spans="1:4" ht="30.75" customHeight="1" x14ac:dyDescent="0.3">
      <c r="A29" s="2" t="s">
        <v>328</v>
      </c>
      <c r="B29" s="4">
        <f>COUNTIF('Kịch bản test'!$C$2:$C$81,"Hành trình I*")</f>
        <v>8</v>
      </c>
      <c r="C29" s="4">
        <f>COUNTIFS('Kịch bản test'!$C$2:$C$81,"Hành trình I*",'Kịch bản test'!$K$2:$K$81,"Không đạt")</f>
        <v>0</v>
      </c>
      <c r="D29" s="4">
        <f>COUNTIFS('Kịch bản test'!$C$2:$C$81,"Hành trình I*",'Kịch bản test'!$K$2:$K$81,"")</f>
        <v>8</v>
      </c>
    </row>
    <row r="30" spans="1:4" ht="44.25" customHeight="1" x14ac:dyDescent="0.3">
      <c r="A30" s="2" t="s">
        <v>366</v>
      </c>
      <c r="B30" s="4">
        <f>COUNTIF('Kịch bản test'!$C$2:$C$81,"Hành trình J*")</f>
        <v>7</v>
      </c>
      <c r="C30" s="4">
        <f>COUNTIFS('Kịch bản test'!$C$2:$C$81,"Hành trình J*",'Kịch bản test'!$K$2:$K$81,"Không đạt")</f>
        <v>0</v>
      </c>
      <c r="D30" s="4">
        <f>COUNTIFS('Kịch bản test'!$C$2:$C$81,"Hành trình J*",'Kịch bản test'!$K$2:$K$81,"")</f>
        <v>7</v>
      </c>
    </row>
    <row r="31" spans="1:4" ht="44.25" customHeight="1" x14ac:dyDescent="0.3">
      <c r="A31" s="2" t="s">
        <v>400</v>
      </c>
      <c r="B31" s="4">
        <f>COUNTIF('Kịch bản test'!$C$2:$C$81,"Hành trình K*")</f>
        <v>4</v>
      </c>
      <c r="C31" s="4">
        <f>COUNTIFS('Kịch bản test'!$C$2:$C$81,"Hành trình K*",'Kịch bản test'!$K$2:$K$81,"Không đạt")</f>
        <v>0</v>
      </c>
      <c r="D31" s="4">
        <f>COUNTIFS('Kịch bản test'!$C$2:$C$81,"Hành trình K*",'Kịch bản test'!$K$2:$K$81,"")</f>
        <v>4</v>
      </c>
    </row>
  </sheetData>
  <pageMargins left="0.4" right="0.4" top="0.5" bottom="0.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1"/>
  <sheetViews>
    <sheetView workbookViewId="0">
      <pane ySplit="1" topLeftCell="A2" activePane="bottomLeft" state="frozen"/>
      <selection pane="bottomLeft" activeCell="A2" sqref="A2"/>
    </sheetView>
  </sheetViews>
  <sheetFormatPr defaultRowHeight="14.4" x14ac:dyDescent="0.3"/>
  <cols>
    <col min="1" max="1" width="126" customWidth="1"/>
  </cols>
  <sheetData>
    <row r="1" spans="1:1" ht="24" customHeight="1" x14ac:dyDescent="0.3">
      <c r="A1" s="7" t="s">
        <v>515</v>
      </c>
    </row>
    <row r="3" spans="1:1" ht="17.399999999999999" customHeight="1" x14ac:dyDescent="0.3">
      <c r="A3" s="7" t="s">
        <v>516</v>
      </c>
    </row>
    <row r="4" spans="1:1" ht="17.399999999999999" customHeight="1" x14ac:dyDescent="0.3">
      <c r="A4" s="6" t="s">
        <v>517</v>
      </c>
    </row>
    <row r="5" spans="1:1" ht="30.75" customHeight="1" x14ac:dyDescent="0.3">
      <c r="A5" s="6" t="s">
        <v>518</v>
      </c>
    </row>
    <row r="6" spans="1:1" ht="30.75" customHeight="1" x14ac:dyDescent="0.3">
      <c r="A6" s="6" t="s">
        <v>519</v>
      </c>
    </row>
    <row r="7" spans="1:1" ht="17.399999999999999" customHeight="1" x14ac:dyDescent="0.3">
      <c r="A7" s="6" t="s">
        <v>520</v>
      </c>
    </row>
    <row r="8" spans="1:1" ht="30.75" customHeight="1" x14ac:dyDescent="0.3">
      <c r="A8" s="6" t="s">
        <v>521</v>
      </c>
    </row>
    <row r="9" spans="1:1" ht="30.75" customHeight="1" x14ac:dyDescent="0.3">
      <c r="A9" s="6" t="s">
        <v>522</v>
      </c>
    </row>
    <row r="10" spans="1:1" ht="17.399999999999999" customHeight="1" x14ac:dyDescent="0.3">
      <c r="A10" s="6" t="s">
        <v>523</v>
      </c>
    </row>
    <row r="11" spans="1:1" ht="17.399999999999999" customHeight="1" x14ac:dyDescent="0.3">
      <c r="A11" s="6" t="s">
        <v>524</v>
      </c>
    </row>
    <row r="12" spans="1:1" ht="30.75" customHeight="1" x14ac:dyDescent="0.3">
      <c r="A12" s="6" t="s">
        <v>525</v>
      </c>
    </row>
    <row r="13" spans="1:1" ht="44.25" customHeight="1" x14ac:dyDescent="0.3">
      <c r="A13" s="6" t="s">
        <v>526</v>
      </c>
    </row>
    <row r="14" spans="1:1" ht="30.75" customHeight="1" x14ac:dyDescent="0.3">
      <c r="A14" s="6" t="s">
        <v>527</v>
      </c>
    </row>
    <row r="15" spans="1:1" ht="30.75" customHeight="1" x14ac:dyDescent="0.3">
      <c r="A15" s="6" t="s">
        <v>528</v>
      </c>
    </row>
    <row r="16" spans="1:1" ht="44.25" customHeight="1" x14ac:dyDescent="0.3">
      <c r="A16" s="6" t="s">
        <v>529</v>
      </c>
    </row>
    <row r="17" spans="1:1" ht="44.25" customHeight="1" x14ac:dyDescent="0.3">
      <c r="A17" s="6" t="s">
        <v>530</v>
      </c>
    </row>
    <row r="19" spans="1:1" ht="17.399999999999999" customHeight="1" x14ac:dyDescent="0.3">
      <c r="A19" s="7" t="s">
        <v>531</v>
      </c>
    </row>
    <row r="20" spans="1:1" ht="17.399999999999999" customHeight="1" x14ac:dyDescent="0.3">
      <c r="A20" s="6" t="s">
        <v>532</v>
      </c>
    </row>
    <row r="21" spans="1:1" ht="30.75" customHeight="1" x14ac:dyDescent="0.3">
      <c r="A21" s="6" t="s">
        <v>533</v>
      </c>
    </row>
    <row r="22" spans="1:1" ht="30.75" customHeight="1" x14ac:dyDescent="0.3">
      <c r="A22" s="6" t="s">
        <v>534</v>
      </c>
    </row>
    <row r="23" spans="1:1" ht="30.75" customHeight="1" x14ac:dyDescent="0.3">
      <c r="A23" s="6" t="s">
        <v>535</v>
      </c>
    </row>
    <row r="24" spans="1:1" ht="17.399999999999999" customHeight="1" x14ac:dyDescent="0.3">
      <c r="A24" s="6" t="s">
        <v>536</v>
      </c>
    </row>
    <row r="25" spans="1:1" ht="17.399999999999999" customHeight="1" x14ac:dyDescent="0.3">
      <c r="A25" s="6" t="s">
        <v>537</v>
      </c>
    </row>
    <row r="26" spans="1:1" ht="30.75" customHeight="1" x14ac:dyDescent="0.3">
      <c r="A26" s="6" t="s">
        <v>538</v>
      </c>
    </row>
    <row r="27" spans="1:1" ht="30.75" customHeight="1" x14ac:dyDescent="0.3">
      <c r="A27" s="6" t="s">
        <v>539</v>
      </c>
    </row>
    <row r="28" spans="1:1" ht="44.25" customHeight="1" x14ac:dyDescent="0.3">
      <c r="A28" s="6" t="s">
        <v>540</v>
      </c>
    </row>
    <row r="29" spans="1:1" ht="30.75" customHeight="1" x14ac:dyDescent="0.3">
      <c r="A29" s="6" t="s">
        <v>541</v>
      </c>
    </row>
    <row r="30" spans="1:1" ht="30.75" customHeight="1" x14ac:dyDescent="0.3">
      <c r="A30" s="6" t="s">
        <v>542</v>
      </c>
    </row>
    <row r="31" spans="1:1" ht="70.95" customHeight="1" x14ac:dyDescent="0.3">
      <c r="A31" s="6" t="s">
        <v>543</v>
      </c>
    </row>
  </sheetData>
  <pageMargins left="0.4" right="0.4" top="0.5" bottom="0.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1"/>
  <sheetViews>
    <sheetView workbookViewId="0">
      <pane ySplit="1" topLeftCell="A2" activePane="bottomLeft" state="frozen"/>
      <selection pane="bottomLeft" activeCell="A2" sqref="A2"/>
    </sheetView>
  </sheetViews>
  <sheetFormatPr defaultRowHeight="14.4" x14ac:dyDescent="0.3"/>
  <cols>
    <col min="1" max="1" width="126" customWidth="1"/>
  </cols>
  <sheetData>
    <row r="1" spans="1:1" ht="24" customHeight="1" x14ac:dyDescent="0.3">
      <c r="A1" s="7" t="s">
        <v>544</v>
      </c>
    </row>
    <row r="3" spans="1:1" ht="17.399999999999999" customHeight="1" x14ac:dyDescent="0.3">
      <c r="A3" s="7" t="s">
        <v>545</v>
      </c>
    </row>
    <row r="4" spans="1:1" ht="30.75" customHeight="1" x14ac:dyDescent="0.3">
      <c r="A4" s="6" t="s">
        <v>546</v>
      </c>
    </row>
    <row r="5" spans="1:1" ht="17.399999999999999" customHeight="1" x14ac:dyDescent="0.3">
      <c r="A5" s="6" t="s">
        <v>547</v>
      </c>
    </row>
    <row r="6" spans="1:1" ht="30.75" customHeight="1" x14ac:dyDescent="0.3">
      <c r="A6" s="6" t="s">
        <v>548</v>
      </c>
    </row>
    <row r="7" spans="1:1" ht="30.75" customHeight="1" x14ac:dyDescent="0.3">
      <c r="A7" s="6" t="s">
        <v>549</v>
      </c>
    </row>
    <row r="8" spans="1:1" ht="30.75" customHeight="1" x14ac:dyDescent="0.3">
      <c r="A8" s="6" t="s">
        <v>550</v>
      </c>
    </row>
    <row r="9" spans="1:1" ht="30.75" customHeight="1" x14ac:dyDescent="0.3">
      <c r="A9" s="6" t="s">
        <v>551</v>
      </c>
    </row>
    <row r="10" spans="1:1" ht="30.75" customHeight="1" x14ac:dyDescent="0.3">
      <c r="A10" s="6" t="s">
        <v>552</v>
      </c>
    </row>
    <row r="11" spans="1:1" ht="17.399999999999999" customHeight="1" x14ac:dyDescent="0.3">
      <c r="A11" s="6" t="s">
        <v>553</v>
      </c>
    </row>
    <row r="12" spans="1:1" ht="30.75" customHeight="1" x14ac:dyDescent="0.3">
      <c r="A12" s="6" t="s">
        <v>554</v>
      </c>
    </row>
    <row r="13" spans="1:1" ht="17.399999999999999" customHeight="1" x14ac:dyDescent="0.3">
      <c r="A13" s="8" t="s">
        <v>555</v>
      </c>
    </row>
    <row r="15" spans="1:1" ht="17.399999999999999" customHeight="1" x14ac:dyDescent="0.3">
      <c r="A15" s="7" t="s">
        <v>556</v>
      </c>
    </row>
    <row r="16" spans="1:1" ht="17.399999999999999" customHeight="1" x14ac:dyDescent="0.3">
      <c r="A16" s="7" t="s">
        <v>557</v>
      </c>
    </row>
    <row r="17" spans="1:1" ht="30.75" customHeight="1" x14ac:dyDescent="0.3">
      <c r="A17" s="6" t="s">
        <v>558</v>
      </c>
    </row>
    <row r="18" spans="1:1" ht="30.75" customHeight="1" x14ac:dyDescent="0.3">
      <c r="A18" s="6" t="s">
        <v>559</v>
      </c>
    </row>
    <row r="19" spans="1:1" ht="17.399999999999999" customHeight="1" x14ac:dyDescent="0.3">
      <c r="A19" s="6" t="s">
        <v>560</v>
      </c>
    </row>
    <row r="20" spans="1:1" ht="17.399999999999999" customHeight="1" x14ac:dyDescent="0.3">
      <c r="A20" s="6" t="s">
        <v>21</v>
      </c>
    </row>
    <row r="21" spans="1:1" ht="17.399999999999999" customHeight="1" x14ac:dyDescent="0.3">
      <c r="A21" s="6" t="s">
        <v>561</v>
      </c>
    </row>
    <row r="22" spans="1:1" ht="17.399999999999999" customHeight="1" x14ac:dyDescent="0.3">
      <c r="A22" s="6" t="s">
        <v>562</v>
      </c>
    </row>
    <row r="23" spans="1:1" ht="17.399999999999999" customHeight="1" x14ac:dyDescent="0.3">
      <c r="A23" s="6" t="s">
        <v>563</v>
      </c>
    </row>
    <row r="24" spans="1:1" ht="17.399999999999999" customHeight="1" x14ac:dyDescent="0.3">
      <c r="A24" s="6" t="s">
        <v>564</v>
      </c>
    </row>
    <row r="25" spans="1:1" ht="17.399999999999999" customHeight="1" x14ac:dyDescent="0.3">
      <c r="A25" s="6" t="s">
        <v>565</v>
      </c>
    </row>
    <row r="26" spans="1:1" ht="17.399999999999999" customHeight="1" x14ac:dyDescent="0.3">
      <c r="A26" s="6" t="s">
        <v>563</v>
      </c>
    </row>
    <row r="27" spans="1:1" ht="17.399999999999999" customHeight="1" x14ac:dyDescent="0.3">
      <c r="A27" s="6" t="s">
        <v>566</v>
      </c>
    </row>
    <row r="28" spans="1:1" ht="17.399999999999999" customHeight="1" x14ac:dyDescent="0.3">
      <c r="A28" s="6" t="s">
        <v>567</v>
      </c>
    </row>
    <row r="29" spans="1:1" ht="17.399999999999999" customHeight="1" x14ac:dyDescent="0.3">
      <c r="A29" s="6" t="s">
        <v>21</v>
      </c>
    </row>
    <row r="30" spans="1:1" ht="30.75" customHeight="1" x14ac:dyDescent="0.3">
      <c r="A30" s="6" t="s">
        <v>568</v>
      </c>
    </row>
    <row r="31" spans="1:1" ht="17.399999999999999" customHeight="1" x14ac:dyDescent="0.3">
      <c r="A31" s="7" t="s">
        <v>569</v>
      </c>
    </row>
    <row r="32" spans="1:1" ht="17.399999999999999" customHeight="1" x14ac:dyDescent="0.3">
      <c r="A32" s="6" t="s">
        <v>570</v>
      </c>
    </row>
    <row r="33" spans="1:1" ht="30.75" customHeight="1" x14ac:dyDescent="0.3">
      <c r="A33" s="6" t="s">
        <v>571</v>
      </c>
    </row>
    <row r="34" spans="1:1" ht="30.75" customHeight="1" x14ac:dyDescent="0.3">
      <c r="A34" s="6" t="s">
        <v>572</v>
      </c>
    </row>
    <row r="35" spans="1:1" ht="30.75" customHeight="1" x14ac:dyDescent="0.3">
      <c r="A35" s="6" t="s">
        <v>573</v>
      </c>
    </row>
    <row r="36" spans="1:1" ht="44.25" customHeight="1" x14ac:dyDescent="0.3">
      <c r="A36" s="6" t="s">
        <v>574</v>
      </c>
    </row>
    <row r="37" spans="1:1" ht="17.399999999999999" customHeight="1" x14ac:dyDescent="0.3">
      <c r="A37" s="7" t="s">
        <v>575</v>
      </c>
    </row>
    <row r="38" spans="1:1" ht="17.399999999999999" customHeight="1" x14ac:dyDescent="0.3">
      <c r="A38" s="6" t="s">
        <v>576</v>
      </c>
    </row>
    <row r="39" spans="1:1" ht="17.399999999999999" customHeight="1" x14ac:dyDescent="0.3">
      <c r="A39" s="6" t="s">
        <v>577</v>
      </c>
    </row>
    <row r="40" spans="1:1" ht="30.75" customHeight="1" x14ac:dyDescent="0.3">
      <c r="A40" s="6" t="s">
        <v>578</v>
      </c>
    </row>
    <row r="41" spans="1:1" ht="17.399999999999999" customHeight="1" x14ac:dyDescent="0.3">
      <c r="A41" s="6" t="s">
        <v>579</v>
      </c>
    </row>
    <row r="42" spans="1:1" ht="17.399999999999999" customHeight="1" x14ac:dyDescent="0.3">
      <c r="A42" s="6" t="s">
        <v>580</v>
      </c>
    </row>
    <row r="43" spans="1:1" ht="17.399999999999999" customHeight="1" x14ac:dyDescent="0.3">
      <c r="A43" s="6" t="s">
        <v>581</v>
      </c>
    </row>
    <row r="44" spans="1:1" ht="30.75" customHeight="1" x14ac:dyDescent="0.3">
      <c r="A44" s="8" t="s">
        <v>582</v>
      </c>
    </row>
    <row r="45" spans="1:1" ht="17.399999999999999" customHeight="1" x14ac:dyDescent="0.3">
      <c r="A45" s="7" t="s">
        <v>583</v>
      </c>
    </row>
    <row r="46" spans="1:1" ht="17.399999999999999" customHeight="1" x14ac:dyDescent="0.3">
      <c r="A46" s="6" t="s">
        <v>584</v>
      </c>
    </row>
    <row r="47" spans="1:1" ht="30.75" customHeight="1" x14ac:dyDescent="0.3">
      <c r="A47" s="6" t="s">
        <v>585</v>
      </c>
    </row>
    <row r="48" spans="1:1" ht="30.75" customHeight="1" x14ac:dyDescent="0.3">
      <c r="A48" s="6" t="s">
        <v>586</v>
      </c>
    </row>
    <row r="49" spans="1:1" ht="17.399999999999999" customHeight="1" x14ac:dyDescent="0.3">
      <c r="A49" s="6" t="s">
        <v>587</v>
      </c>
    </row>
    <row r="50" spans="1:1" ht="17.399999999999999" customHeight="1" x14ac:dyDescent="0.3">
      <c r="A50" s="6" t="s">
        <v>588</v>
      </c>
    </row>
    <row r="51" spans="1:1" ht="17.399999999999999" customHeight="1" x14ac:dyDescent="0.3">
      <c r="A51" s="6" t="s">
        <v>589</v>
      </c>
    </row>
    <row r="52" spans="1:1" ht="30.75" customHeight="1" x14ac:dyDescent="0.3">
      <c r="A52" s="6" t="s">
        <v>590</v>
      </c>
    </row>
    <row r="53" spans="1:1" ht="17.399999999999999" customHeight="1" x14ac:dyDescent="0.3">
      <c r="A53" s="6" t="s">
        <v>591</v>
      </c>
    </row>
    <row r="54" spans="1:1" ht="17.399999999999999" customHeight="1" x14ac:dyDescent="0.3">
      <c r="A54" s="6" t="s">
        <v>592</v>
      </c>
    </row>
    <row r="55" spans="1:1" ht="17.399999999999999" customHeight="1" x14ac:dyDescent="0.3">
      <c r="A55" s="6" t="s">
        <v>593</v>
      </c>
    </row>
    <row r="56" spans="1:1" ht="17.399999999999999" customHeight="1" x14ac:dyDescent="0.3">
      <c r="A56" s="6" t="s">
        <v>594</v>
      </c>
    </row>
    <row r="57" spans="1:1" ht="30.75" customHeight="1" x14ac:dyDescent="0.3">
      <c r="A57" s="6" t="s">
        <v>595</v>
      </c>
    </row>
    <row r="58" spans="1:1" ht="17.399999999999999" customHeight="1" x14ac:dyDescent="0.3">
      <c r="A58" s="7" t="s">
        <v>596</v>
      </c>
    </row>
    <row r="59" spans="1:1" ht="17.399999999999999" customHeight="1" x14ac:dyDescent="0.3">
      <c r="A59" s="8" t="s">
        <v>597</v>
      </c>
    </row>
    <row r="60" spans="1:1" ht="44.25" customHeight="1" x14ac:dyDescent="0.3">
      <c r="A60" s="8" t="s">
        <v>598</v>
      </c>
    </row>
    <row r="61" spans="1:1" ht="44.25" customHeight="1" x14ac:dyDescent="0.3">
      <c r="A61" s="6" t="s">
        <v>599</v>
      </c>
    </row>
    <row r="62" spans="1:1" ht="17.399999999999999" customHeight="1" x14ac:dyDescent="0.3">
      <c r="A62" s="6" t="s">
        <v>600</v>
      </c>
    </row>
    <row r="63" spans="1:1" ht="17.399999999999999" customHeight="1" x14ac:dyDescent="0.3">
      <c r="A63" s="6" t="s">
        <v>601</v>
      </c>
    </row>
    <row r="64" spans="1:1" ht="30.75" customHeight="1" x14ac:dyDescent="0.3">
      <c r="A64" s="6" t="s">
        <v>602</v>
      </c>
    </row>
    <row r="65" spans="1:1" ht="17.399999999999999" customHeight="1" x14ac:dyDescent="0.3">
      <c r="A65" s="6" t="s">
        <v>603</v>
      </c>
    </row>
    <row r="66" spans="1:1" ht="17.399999999999999" customHeight="1" x14ac:dyDescent="0.3">
      <c r="A66" s="6" t="s">
        <v>604</v>
      </c>
    </row>
    <row r="67" spans="1:1" ht="17.399999999999999" customHeight="1" x14ac:dyDescent="0.3">
      <c r="A67" s="6" t="s">
        <v>605</v>
      </c>
    </row>
    <row r="68" spans="1:1" ht="17.399999999999999" customHeight="1" x14ac:dyDescent="0.3">
      <c r="A68" s="6" t="s">
        <v>606</v>
      </c>
    </row>
    <row r="69" spans="1:1" ht="17.399999999999999" customHeight="1" x14ac:dyDescent="0.3">
      <c r="A69" s="6" t="s">
        <v>607</v>
      </c>
    </row>
    <row r="70" spans="1:1" ht="17.399999999999999" customHeight="1" x14ac:dyDescent="0.3">
      <c r="A70" s="6" t="s">
        <v>608</v>
      </c>
    </row>
    <row r="71" spans="1:1" ht="17.399999999999999" customHeight="1" x14ac:dyDescent="0.3">
      <c r="A71" s="6" t="s">
        <v>609</v>
      </c>
    </row>
    <row r="72" spans="1:1" ht="30.75" customHeight="1" x14ac:dyDescent="0.3">
      <c r="A72" s="6" t="s">
        <v>610</v>
      </c>
    </row>
    <row r="73" spans="1:1" ht="30.75" customHeight="1" x14ac:dyDescent="0.3">
      <c r="A73" s="6" t="s">
        <v>611</v>
      </c>
    </row>
    <row r="74" spans="1:1" ht="30.75" customHeight="1" x14ac:dyDescent="0.3">
      <c r="A74" s="6" t="s">
        <v>612</v>
      </c>
    </row>
    <row r="75" spans="1:1" ht="17.399999999999999" customHeight="1" x14ac:dyDescent="0.3">
      <c r="A75" s="6" t="s">
        <v>613</v>
      </c>
    </row>
    <row r="76" spans="1:1" ht="44.25" customHeight="1" x14ac:dyDescent="0.3">
      <c r="A76" s="6" t="s">
        <v>614</v>
      </c>
    </row>
    <row r="77" spans="1:1" ht="30.75" customHeight="1" x14ac:dyDescent="0.3">
      <c r="A77" s="6" t="s">
        <v>615</v>
      </c>
    </row>
    <row r="79" spans="1:1" ht="17.399999999999999" customHeight="1" x14ac:dyDescent="0.3">
      <c r="A79" s="7" t="s">
        <v>616</v>
      </c>
    </row>
    <row r="80" spans="1:1" ht="17.399999999999999" customHeight="1" x14ac:dyDescent="0.3">
      <c r="A80" s="6" t="s">
        <v>617</v>
      </c>
    </row>
    <row r="81" spans="1:1" ht="30.75" customHeight="1" x14ac:dyDescent="0.3">
      <c r="A81" s="6" t="s">
        <v>618</v>
      </c>
    </row>
    <row r="82" spans="1:1" ht="17.399999999999999" customHeight="1" x14ac:dyDescent="0.3">
      <c r="A82" s="6" t="s">
        <v>619</v>
      </c>
    </row>
    <row r="83" spans="1:1" ht="17.399999999999999" customHeight="1" x14ac:dyDescent="0.3">
      <c r="A83" s="6" t="s">
        <v>620</v>
      </c>
    </row>
    <row r="84" spans="1:1" ht="17.399999999999999" customHeight="1" x14ac:dyDescent="0.3">
      <c r="A84" s="6" t="s">
        <v>621</v>
      </c>
    </row>
    <row r="85" spans="1:1" ht="30.75" customHeight="1" x14ac:dyDescent="0.3">
      <c r="A85" s="8" t="s">
        <v>622</v>
      </c>
    </row>
    <row r="87" spans="1:1" ht="17.399999999999999" customHeight="1" x14ac:dyDescent="0.3">
      <c r="A87" s="7" t="s">
        <v>623</v>
      </c>
    </row>
    <row r="88" spans="1:1" ht="17.399999999999999" customHeight="1" x14ac:dyDescent="0.3">
      <c r="A88" s="6" t="s">
        <v>624</v>
      </c>
    </row>
    <row r="89" spans="1:1" ht="30.75" customHeight="1" x14ac:dyDescent="0.3">
      <c r="A89" s="6" t="s">
        <v>625</v>
      </c>
    </row>
    <row r="90" spans="1:1" ht="17.399999999999999" customHeight="1" x14ac:dyDescent="0.3">
      <c r="A90" s="6" t="s">
        <v>626</v>
      </c>
    </row>
    <row r="91" spans="1:1" ht="17.399999999999999" customHeight="1" x14ac:dyDescent="0.3">
      <c r="A91" s="6" t="s">
        <v>627</v>
      </c>
    </row>
    <row r="92" spans="1:1" ht="30.75" customHeight="1" x14ac:dyDescent="0.3">
      <c r="A92" s="6" t="s">
        <v>628</v>
      </c>
    </row>
    <row r="93" spans="1:1" ht="30.75" customHeight="1" x14ac:dyDescent="0.3">
      <c r="A93" s="6" t="s">
        <v>629</v>
      </c>
    </row>
    <row r="94" spans="1:1" ht="17.399999999999999" customHeight="1" x14ac:dyDescent="0.3">
      <c r="A94" s="6" t="s">
        <v>630</v>
      </c>
    </row>
    <row r="95" spans="1:1" ht="30.75" customHeight="1" x14ac:dyDescent="0.3">
      <c r="A95" s="6" t="s">
        <v>631</v>
      </c>
    </row>
    <row r="96" spans="1:1" ht="30.75" customHeight="1" x14ac:dyDescent="0.3">
      <c r="A96" s="6" t="s">
        <v>632</v>
      </c>
    </row>
    <row r="97" spans="1:1" ht="30.75" customHeight="1" x14ac:dyDescent="0.3">
      <c r="A97" s="6" t="s">
        <v>633</v>
      </c>
    </row>
    <row r="98" spans="1:1" ht="30.75" customHeight="1" x14ac:dyDescent="0.3">
      <c r="A98" s="6" t="s">
        <v>634</v>
      </c>
    </row>
    <row r="99" spans="1:1" ht="17.399999999999999" customHeight="1" x14ac:dyDescent="0.3">
      <c r="A99" s="6" t="s">
        <v>635</v>
      </c>
    </row>
    <row r="100" spans="1:1" ht="30.75" customHeight="1" x14ac:dyDescent="0.3">
      <c r="A100" s="6" t="s">
        <v>636</v>
      </c>
    </row>
    <row r="101" spans="1:1" ht="17.399999999999999" customHeight="1" x14ac:dyDescent="0.3">
      <c r="A101" s="6" t="s">
        <v>637</v>
      </c>
    </row>
  </sheetData>
  <pageMargins left="0.4" right="0.4" top="0.5" bottom="0.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Kịch bản test</vt:lpstr>
      <vt:lpstr>Tổng kết</vt:lpstr>
      <vt:lpstr>Không phải lỗi</vt:lpstr>
      <vt:lpstr>Phụ lục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Ngọc Hải Vũ</cp:lastModifiedBy>
  <dcterms:modified xsi:type="dcterms:W3CDTF">2026-09-29T16:58:39Z</dcterms:modified>
</cp:coreProperties>
</file>